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DR000691\Downloads\"/>
    </mc:Choice>
  </mc:AlternateContent>
  <xr:revisionPtr revIDLastSave="0" documentId="13_ncr:1_{06C6A0E4-7A3F-486A-A1FB-B36BB231920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tatus Report" sheetId="1" r:id="rId1"/>
    <sheet name="Sheet1" sheetId="3" r:id="rId2"/>
    <sheet name="Sheet2" sheetId="4" r:id="rId3"/>
    <sheet name="Summary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6" i="2" l="1"/>
  <c r="B16" i="2"/>
  <c r="A16" i="2"/>
  <c r="C15" i="2"/>
  <c r="B15" i="2"/>
  <c r="A15" i="2"/>
  <c r="C14" i="2"/>
  <c r="B14" i="2"/>
  <c r="A14" i="2"/>
  <c r="C13" i="2"/>
  <c r="B13" i="2"/>
  <c r="A13" i="2"/>
  <c r="C12" i="2"/>
  <c r="B12" i="2"/>
  <c r="A12" i="2"/>
  <c r="B9" i="2"/>
  <c r="B8" i="2"/>
  <c r="B7" i="2"/>
  <c r="B6" i="2"/>
  <c r="B5" i="2"/>
  <c r="B4" i="2"/>
  <c r="B3" i="2"/>
</calcChain>
</file>

<file path=xl/sharedStrings.xml><?xml version="1.0" encoding="utf-8"?>
<sst xmlns="http://schemas.openxmlformats.org/spreadsheetml/2006/main" count="116" uniqueCount="63">
  <si>
    <t>Project</t>
  </si>
  <si>
    <t>Quality Gate</t>
  </si>
  <si>
    <t>Security Rating</t>
  </si>
  <si>
    <t>Security Issues</t>
  </si>
  <si>
    <t>Reliability Rating</t>
  </si>
  <si>
    <t>Reliability Issues</t>
  </si>
  <si>
    <t>Maintainability Rating</t>
  </si>
  <si>
    <t>Maintainability Issues</t>
  </si>
  <si>
    <t>Security Hotspot Rating</t>
  </si>
  <si>
    <t>Hotspots Reviewed %</t>
  </si>
  <si>
    <t>Coverage %</t>
  </si>
  <si>
    <t>Duplications %</t>
  </si>
  <si>
    <t>Total Issues</t>
  </si>
  <si>
    <t>Main Failure Drivers</t>
  </si>
  <si>
    <t>Recommended Action</t>
  </si>
  <si>
    <t>Owner</t>
  </si>
  <si>
    <t>Target Date</t>
  </si>
  <si>
    <t>Remarks</t>
  </si>
  <si>
    <t>DXP-FE-TRAVEL-INSURANCE-V3</t>
  </si>
  <si>
    <t>Failed</t>
  </si>
  <si>
    <t>A</t>
  </si>
  <si>
    <t>C</t>
  </si>
  <si>
    <t>Issues &gt; 0; Coverage below 40%; Reliability rating C</t>
  </si>
  <si>
    <t>Fix/resolve all open Sonar issues or relax gate for rollout; Add/enable unit tests and publish coverage report; Fix blocker/critical bugs affecting reliability</t>
  </si>
  <si>
    <t>DXP-BFF-WEB</t>
  </si>
  <si>
    <t>Issues &gt; 0</t>
  </si>
  <si>
    <t>Fix/resolve all open Sonar issues or relax gate for rollout</t>
  </si>
  <si>
    <t>DXP-DH-RECOVERY-PORTAL-V3</t>
  </si>
  <si>
    <t>E</t>
  </si>
  <si>
    <t>Issues &gt; 0; Hotspots reviewed below 100%; Reliability rating C</t>
  </si>
  <si>
    <t>Fix/resolve all open Sonar issues or relax gate for rollout; Review all Security Hotspots in SonarQube; Fix blocker/critical bugs affecting reliability</t>
  </si>
  <si>
    <t>DXP-DH-WORKSHOP-PORTAL-V3</t>
  </si>
  <si>
    <t>Issues &gt; 0; Reliability rating C</t>
  </si>
  <si>
    <t>Fix/resolve all open Sonar issues or relax gate for rollout; Fix blocker/critical bugs affecting reliability</t>
  </si>
  <si>
    <t>DXP-FE-SALES-VISIT-VISA-V3</t>
  </si>
  <si>
    <t>Issues &gt; 0; Coverage below 40%; Reliability rating C; Duplications above 20%</t>
  </si>
  <si>
    <t>Fix/resolve all open Sonar issues or relax gate for rollout; Add/enable unit tests and publish coverage report; Fix blocker/critical bugs affecting reliability; Refactor duplicated code</t>
  </si>
  <si>
    <t>Quality Gate Conditions Used</t>
  </si>
  <si>
    <t>Issues</t>
  </si>
  <si>
    <t>Security Hotspots Reviewed</t>
  </si>
  <si>
    <t>Coverage</t>
  </si>
  <si>
    <t>Duplicated Lines %</t>
  </si>
  <si>
    <t>Note</t>
  </si>
  <si>
    <t>Source</t>
  </si>
  <si>
    <t>Prepared For</t>
  </si>
  <si>
    <t>Report Date</t>
  </si>
  <si>
    <t>SonarQube Quality Gate Status Summary</t>
  </si>
  <si>
    <t>Total Projects</t>
  </si>
  <si>
    <t>Failed Projects</t>
  </si>
  <si>
    <t>Avg Coverage</t>
  </si>
  <si>
    <t>Avg Duplications</t>
  </si>
  <si>
    <t>Projects Coverage &lt; 40%</t>
  </si>
  <si>
    <t>Projects Hotspots &lt; 100%</t>
  </si>
  <si>
    <t>Total Open Issues</t>
  </si>
  <si>
    <t>Conditions on New Code</t>
  </si>
  <si>
    <t>Metric</t>
  </si>
  <si>
    <t>Condition</t>
  </si>
  <si>
    <t>&gt; 0</t>
  </si>
  <si>
    <t>&lt; 100%</t>
  </si>
  <si>
    <t>&lt; 40%</t>
  </si>
  <si>
    <t>Duplicated Lines (%)</t>
  </si>
  <si>
    <t>&gt; 20%</t>
  </si>
  <si>
    <t>Conditions on Overall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</si>
</sst>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6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vertical="top" wrapText="1"/>
    </xf>
    <xf numFmtId="164" fontId="0" fillId="0" borderId="0" xfId="0" applyNumberFormat="1" applyFont="1" applyFill="1" applyBorder="1" applyAlignment="1">
      <alignment vertical="top" wrapText="1"/>
    </xf>
    <xf numFmtId="0" fontId="2" fillId="3" borderId="0" xfId="0" applyNumberFormat="1" applyFont="1" applyFill="1" applyBorder="1"/>
    <xf numFmtId="0" fontId="0" fillId="0" borderId="0" xfId="0" applyNumberFormat="1" applyFont="1" applyFill="1" applyBorder="1"/>
    <xf numFmtId="164" fontId="0" fillId="0" borderId="0" xfId="0" applyNumberFormat="1" applyFont="1" applyFill="1" applyBorder="1"/>
    <xf numFmtId="0" fontId="3" fillId="2" borderId="0" xfId="0" applyNumberFormat="1" applyFont="1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2" xfId="0" applyFill="1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4" borderId="15" xfId="0" applyFill="1" applyBorder="1"/>
    <xf numFmtId="0" fontId="0" fillId="4" borderId="16" xfId="0" applyFill="1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18">
    <dxf>
      <font>
        <color rgb="FF9C6500"/>
      </font>
      <fill>
        <patternFill patternType="solid">
          <bgColor rgb="FFFFF2CC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color rgb="FF9C6500"/>
      </font>
      <fill>
        <patternFill patternType="solid">
          <bgColor rgb="FFFFF2CC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color rgb="FF9C6500"/>
      </font>
      <fill>
        <patternFill patternType="solid">
          <bgColor rgb="FFFFF2CC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990000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2290372557596967"/>
          <c:y val="0.11780873544653073"/>
          <c:w val="0.88041466170895299"/>
          <c:h val="0.4107803351504139"/>
        </c:manualLayout>
      </c:layout>
      <c:barChart>
        <c:barDir val="col"/>
        <c:grouping val="clustered"/>
        <c:varyColors val="0"/>
        <c:ser>
          <c:idx val="0"/>
          <c:order val="0"/>
          <c:tx>
            <c:v>Coverage %</c:v>
          </c:tx>
          <c:invertIfNegative val="1"/>
          <c:cat>
            <c:strRef>
              <c:f>Summary!$A$12:$A$16</c:f>
              <c:strCache>
                <c:ptCount val="5"/>
                <c:pt idx="0">
                  <c:v>DXP-FE-TRAVEL-INSURANCE-V3</c:v>
                </c:pt>
                <c:pt idx="1">
                  <c:v>DXP-BFF-WEB</c:v>
                </c:pt>
                <c:pt idx="2">
                  <c:v>DXP-DH-RECOVERY-PORTAL-V3</c:v>
                </c:pt>
                <c:pt idx="3">
                  <c:v>DXP-DH-WORKSHOP-PORTAL-V3</c:v>
                </c:pt>
                <c:pt idx="4">
                  <c:v>DXP-FE-SALES-VISIT-VISA-V3</c:v>
                </c:pt>
              </c:strCache>
            </c:strRef>
          </c:cat>
          <c:val>
            <c:numRef>
              <c:f>Summary!$B$12:$B$16</c:f>
              <c:numCache>
                <c:formatCode>0.0%</c:formatCode>
                <c:ptCount val="5"/>
                <c:pt idx="0">
                  <c:v>0</c:v>
                </c:pt>
                <c:pt idx="1">
                  <c:v>0.45700000000000002</c:v>
                </c:pt>
                <c:pt idx="2">
                  <c:v>0.42499999999999999</c:v>
                </c:pt>
                <c:pt idx="3">
                  <c:v>0.43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C1-412F-ACAF-B419D7C0123E}"/>
            </c:ext>
          </c:extLst>
        </c:ser>
        <c:ser>
          <c:idx val="1"/>
          <c:order val="1"/>
          <c:tx>
            <c:v>Duplications %</c:v>
          </c:tx>
          <c:invertIfNegative val="1"/>
          <c:cat>
            <c:strRef>
              <c:f>Summary!$A$12:$A$16</c:f>
              <c:strCache>
                <c:ptCount val="5"/>
                <c:pt idx="0">
                  <c:v>DXP-FE-TRAVEL-INSURANCE-V3</c:v>
                </c:pt>
                <c:pt idx="1">
                  <c:v>DXP-BFF-WEB</c:v>
                </c:pt>
                <c:pt idx="2">
                  <c:v>DXP-DH-RECOVERY-PORTAL-V3</c:v>
                </c:pt>
                <c:pt idx="3">
                  <c:v>DXP-DH-WORKSHOP-PORTAL-V3</c:v>
                </c:pt>
                <c:pt idx="4">
                  <c:v>DXP-FE-SALES-VISIT-VISA-V3</c:v>
                </c:pt>
              </c:strCache>
            </c:strRef>
          </c:cat>
          <c:val>
            <c:numRef>
              <c:f>Summary!$C$12:$C$16</c:f>
              <c:numCache>
                <c:formatCode>0.0%</c:formatCode>
                <c:ptCount val="5"/>
                <c:pt idx="0">
                  <c:v>7.400000000000001E-2</c:v>
                </c:pt>
                <c:pt idx="1">
                  <c:v>7.6999999999999999E-2</c:v>
                </c:pt>
                <c:pt idx="2">
                  <c:v>0.113</c:v>
                </c:pt>
                <c:pt idx="3">
                  <c:v>0.11800000000000001</c:v>
                </c:pt>
                <c:pt idx="4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C1-412F-ACAF-B419D7C01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314325</xdr:colOff>
      <xdr:row>1</xdr:row>
      <xdr:rowOff>9525</xdr:rowOff>
    </xdr:from>
    <xdr:to>
      <xdr:col>18</xdr:col>
      <xdr:colOff>314325</xdr:colOff>
      <xdr:row>17</xdr:row>
      <xdr:rowOff>9525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narStatusTable" displayName="SonarStatusTable" ref="A1:R6">
  <tableColumns count="18">
    <tableColumn id="1" xr3:uid="{00000000-0010-0000-0000-000001000000}" name="Project"/>
    <tableColumn id="3" xr3:uid="{00000000-0010-0000-0000-000003000000}" name="Quality Gate"/>
    <tableColumn id="7" xr3:uid="{00000000-0010-0000-0000-000007000000}" name="Security Rating"/>
    <tableColumn id="8" xr3:uid="{00000000-0010-0000-0000-000008000000}" name="Security Issues"/>
    <tableColumn id="9" xr3:uid="{00000000-0010-0000-0000-000009000000}" name="Reliability Rating"/>
    <tableColumn id="10" xr3:uid="{00000000-0010-0000-0000-00000A000000}" name="Reliability Issues"/>
    <tableColumn id="11" xr3:uid="{00000000-0010-0000-0000-00000B000000}" name="Maintainability Rating"/>
    <tableColumn id="12" xr3:uid="{00000000-0010-0000-0000-00000C000000}" name="Maintainability Issues"/>
    <tableColumn id="13" xr3:uid="{00000000-0010-0000-0000-00000D000000}" name="Security Hotspot Rating"/>
    <tableColumn id="14" xr3:uid="{00000000-0010-0000-0000-00000E000000}" name="Hotspots Reviewed %"/>
    <tableColumn id="15" xr3:uid="{00000000-0010-0000-0000-00000F000000}" name="Coverage %"/>
    <tableColumn id="16" xr3:uid="{00000000-0010-0000-0000-000010000000}" name="Duplications %"/>
    <tableColumn id="17" xr3:uid="{00000000-0010-0000-0000-000011000000}" name="Total Issues"/>
    <tableColumn id="18" xr3:uid="{00000000-0010-0000-0000-000012000000}" name="Main Failure Drivers"/>
    <tableColumn id="19" xr3:uid="{00000000-0010-0000-0000-000013000000}" name="Recommended Action"/>
    <tableColumn id="20" xr3:uid="{00000000-0010-0000-0000-000014000000}" name="Owner"/>
    <tableColumn id="21" xr3:uid="{00000000-0010-0000-0000-000015000000}" name="Target Date"/>
    <tableColumn id="22" xr3:uid="{00000000-0010-0000-0000-000016000000}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workbookViewId="0">
      <selection sqref="A1:N6"/>
    </sheetView>
  </sheetViews>
  <sheetFormatPr defaultRowHeight="14.25"/>
  <cols>
    <col min="1" max="1" width="34" customWidth="1"/>
    <col min="2" max="2" width="13" customWidth="1"/>
    <col min="14" max="14" width="44" customWidth="1"/>
    <col min="15" max="15" width="55" customWidth="1"/>
    <col min="16" max="16" width="18" customWidth="1"/>
    <col min="17" max="17" width="16" customWidth="1"/>
    <col min="18" max="18" width="18" customWidth="1"/>
  </cols>
  <sheetData>
    <row r="1" spans="1:18" ht="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42.75">
      <c r="A2" s="3" t="s">
        <v>18</v>
      </c>
      <c r="B2" s="3" t="s">
        <v>19</v>
      </c>
      <c r="C2" s="3" t="s">
        <v>20</v>
      </c>
      <c r="D2" s="3">
        <v>0</v>
      </c>
      <c r="E2" s="3" t="s">
        <v>21</v>
      </c>
      <c r="F2" s="3">
        <v>17</v>
      </c>
      <c r="G2" s="3" t="s">
        <v>20</v>
      </c>
      <c r="H2" s="3">
        <v>293</v>
      </c>
      <c r="I2" s="3" t="s">
        <v>20</v>
      </c>
      <c r="J2" s="4"/>
      <c r="K2" s="4">
        <v>0</v>
      </c>
      <c r="L2" s="4">
        <v>7.400000000000001E-2</v>
      </c>
      <c r="M2" s="3">
        <v>310</v>
      </c>
      <c r="N2" s="3" t="s">
        <v>22</v>
      </c>
      <c r="O2" s="3" t="s">
        <v>23</v>
      </c>
      <c r="P2" s="3"/>
      <c r="Q2" s="3"/>
      <c r="R2" s="3"/>
    </row>
    <row r="3" spans="1:18" ht="15">
      <c r="A3" s="3" t="s">
        <v>24</v>
      </c>
      <c r="B3" s="3" t="s">
        <v>19</v>
      </c>
      <c r="C3" s="3" t="s">
        <v>20</v>
      </c>
      <c r="D3" s="3">
        <v>0</v>
      </c>
      <c r="E3" s="3" t="s">
        <v>20</v>
      </c>
      <c r="F3" s="3">
        <v>0</v>
      </c>
      <c r="G3" s="3" t="s">
        <v>20</v>
      </c>
      <c r="H3" s="3">
        <v>78</v>
      </c>
      <c r="I3" s="3" t="s">
        <v>20</v>
      </c>
      <c r="J3" s="4"/>
      <c r="K3" s="4">
        <v>0.45700000000000002</v>
      </c>
      <c r="L3" s="4">
        <v>7.6999999999999999E-2</v>
      </c>
      <c r="M3" s="3">
        <v>78</v>
      </c>
      <c r="N3" s="3" t="s">
        <v>25</v>
      </c>
      <c r="O3" s="3" t="s">
        <v>26</v>
      </c>
      <c r="P3" s="3"/>
      <c r="Q3" s="3"/>
      <c r="R3" s="3"/>
    </row>
    <row r="4" spans="1:18" ht="42.75">
      <c r="A4" s="3" t="s">
        <v>27</v>
      </c>
      <c r="B4" s="3" t="s">
        <v>19</v>
      </c>
      <c r="C4" s="3" t="s">
        <v>20</v>
      </c>
      <c r="D4" s="3">
        <v>0</v>
      </c>
      <c r="E4" s="3" t="s">
        <v>21</v>
      </c>
      <c r="F4" s="3">
        <v>2</v>
      </c>
      <c r="G4" s="3" t="s">
        <v>20</v>
      </c>
      <c r="H4" s="3">
        <v>23</v>
      </c>
      <c r="I4" s="3" t="s">
        <v>28</v>
      </c>
      <c r="J4" s="4">
        <v>0</v>
      </c>
      <c r="K4" s="4">
        <v>0.42499999999999999</v>
      </c>
      <c r="L4" s="4">
        <v>0.113</v>
      </c>
      <c r="M4" s="3">
        <v>25</v>
      </c>
      <c r="N4" s="3" t="s">
        <v>29</v>
      </c>
      <c r="O4" s="3" t="s">
        <v>30</v>
      </c>
      <c r="P4" s="3"/>
      <c r="Q4" s="3"/>
      <c r="R4" s="3"/>
    </row>
    <row r="5" spans="1:18" ht="28.5">
      <c r="A5" s="3" t="s">
        <v>31</v>
      </c>
      <c r="B5" s="3" t="s">
        <v>19</v>
      </c>
      <c r="C5" s="3" t="s">
        <v>20</v>
      </c>
      <c r="D5" s="3">
        <v>0</v>
      </c>
      <c r="E5" s="3" t="s">
        <v>21</v>
      </c>
      <c r="F5" s="3">
        <v>6</v>
      </c>
      <c r="G5" s="3" t="s">
        <v>20</v>
      </c>
      <c r="H5" s="3">
        <v>179</v>
      </c>
      <c r="I5" s="3" t="s">
        <v>20</v>
      </c>
      <c r="J5" s="4">
        <v>1</v>
      </c>
      <c r="K5" s="4">
        <v>0.43</v>
      </c>
      <c r="L5" s="4">
        <v>0.11800000000000001</v>
      </c>
      <c r="M5" s="3">
        <v>185</v>
      </c>
      <c r="N5" s="3" t="s">
        <v>32</v>
      </c>
      <c r="O5" s="3" t="s">
        <v>33</v>
      </c>
      <c r="P5" s="3"/>
      <c r="Q5" s="3"/>
      <c r="R5" s="3"/>
    </row>
    <row r="6" spans="1:18" ht="42.75">
      <c r="A6" s="3" t="s">
        <v>34</v>
      </c>
      <c r="B6" s="3" t="s">
        <v>19</v>
      </c>
      <c r="C6" s="3" t="s">
        <v>20</v>
      </c>
      <c r="D6" s="3">
        <v>0</v>
      </c>
      <c r="E6" s="3" t="s">
        <v>21</v>
      </c>
      <c r="F6" s="3">
        <v>3</v>
      </c>
      <c r="G6" s="3" t="s">
        <v>20</v>
      </c>
      <c r="H6" s="3">
        <v>104</v>
      </c>
      <c r="I6" s="3" t="s">
        <v>20</v>
      </c>
      <c r="J6" s="4"/>
      <c r="K6" s="4">
        <v>0</v>
      </c>
      <c r="L6" s="4">
        <v>0.4</v>
      </c>
      <c r="M6" s="3">
        <v>107</v>
      </c>
      <c r="N6" s="3" t="s">
        <v>35</v>
      </c>
      <c r="O6" s="3" t="s">
        <v>36</v>
      </c>
      <c r="P6" s="3"/>
      <c r="Q6" s="3"/>
      <c r="R6" s="3"/>
    </row>
    <row r="8" spans="1:18" ht="15">
      <c r="A8" s="5" t="s">
        <v>37</v>
      </c>
      <c r="B8" s="5"/>
    </row>
    <row r="9" spans="1:18">
      <c r="A9" s="6" t="s">
        <v>38</v>
      </c>
    </row>
    <row r="10" spans="1:18">
      <c r="A10" s="6" t="s">
        <v>39</v>
      </c>
    </row>
    <row r="11" spans="1:18">
      <c r="A11" s="6" t="s">
        <v>40</v>
      </c>
    </row>
    <row r="12" spans="1:18">
      <c r="A12" s="6" t="s">
        <v>41</v>
      </c>
    </row>
    <row r="13" spans="1:18">
      <c r="A13" s="6" t="s">
        <v>42</v>
      </c>
    </row>
    <row r="14" spans="1:18">
      <c r="A14" s="6" t="s">
        <v>43</v>
      </c>
    </row>
    <row r="15" spans="1:18">
      <c r="A15" s="6" t="s">
        <v>44</v>
      </c>
    </row>
    <row r="16" spans="1:18">
      <c r="A16" s="6" t="s">
        <v>45</v>
      </c>
    </row>
  </sheetData>
  <conditionalFormatting sqref="B2:B6">
    <cfRule type="expression" dxfId="17" priority="1">
      <formula>$B2="Failed"</formula>
    </cfRule>
  </conditionalFormatting>
  <conditionalFormatting sqref="E2:E6">
    <cfRule type="expression" dxfId="16" priority="2">
      <formula>OR($E2="C",$E2="D",$E2="E")</formula>
    </cfRule>
  </conditionalFormatting>
  <conditionalFormatting sqref="I2:I6">
    <cfRule type="expression" dxfId="15" priority="3">
      <formula>$I2="E"</formula>
    </cfRule>
  </conditionalFormatting>
  <conditionalFormatting sqref="J2:J6">
    <cfRule type="expression" dxfId="14" priority="4">
      <formula>AND(NOT(ISBLANK($J2)),$J2&lt;1)</formula>
    </cfRule>
  </conditionalFormatting>
  <conditionalFormatting sqref="K2:K6">
    <cfRule type="expression" dxfId="13" priority="5">
      <formula>$K2&lt;0.4</formula>
    </cfRule>
  </conditionalFormatting>
  <conditionalFormatting sqref="L2:L6">
    <cfRule type="expression" dxfId="12" priority="6">
      <formula>$L2&gt;0.2</formula>
    </cfRule>
  </conditionalFormatting>
  <pageMargins left="0.7" right="0.7" top="0.75" bottom="0.75" header="0.3" footer="0.3"/>
  <pageSetup paperSize="9" orientation="portrait" r:id="rId1"/>
  <headerFooter>
    <oddHeader>&amp;L&amp;"arial"&amp;14&amp;K000000&amp;BClassification:&amp;B &amp;K6A1B9A&amp;BInternal</oddHeader>
    <evenHeader>&amp;L&amp;"arial"&amp;14&amp;K000000&amp;BClassification:&amp;B &amp;K6A1B9A&amp;BInternal</evenHeader>
    <firstHeader>&amp;L&amp;"arial"&amp;14&amp;K000000&amp;BClassification:&amp;B &amp;K6A1B9A&amp;BInternal</first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F74EB-0FAE-44CB-9DBE-18E8C3B36F41}">
  <dimension ref="A1:F6"/>
  <sheetViews>
    <sheetView workbookViewId="0">
      <selection sqref="A1:F6"/>
    </sheetView>
  </sheetViews>
  <sheetFormatPr defaultRowHeight="14.25"/>
  <cols>
    <col min="1" max="1" width="31.125" style="10" bestFit="1" customWidth="1"/>
    <col min="2" max="2" width="11.75" style="10" bestFit="1" customWidth="1"/>
    <col min="3" max="3" width="20.625" style="10" bestFit="1" customWidth="1"/>
    <col min="4" max="4" width="11.75" style="10" bestFit="1" customWidth="1"/>
    <col min="5" max="5" width="14.125" style="10" bestFit="1" customWidth="1"/>
    <col min="6" max="6" width="11.625" style="10" bestFit="1" customWidth="1"/>
    <col min="7" max="16384" width="9" style="10"/>
  </cols>
  <sheetData>
    <row r="1" spans="1:6" ht="15">
      <c r="A1" s="22" t="s">
        <v>0</v>
      </c>
      <c r="B1" s="23" t="s">
        <v>1</v>
      </c>
      <c r="C1" s="23" t="s">
        <v>9</v>
      </c>
      <c r="D1" s="23" t="s">
        <v>10</v>
      </c>
      <c r="E1" s="23" t="s">
        <v>11</v>
      </c>
      <c r="F1" s="24" t="s">
        <v>12</v>
      </c>
    </row>
    <row r="2" spans="1:6">
      <c r="A2" s="25" t="s">
        <v>18</v>
      </c>
      <c r="B2" s="20" t="s">
        <v>19</v>
      </c>
      <c r="C2" s="21"/>
      <c r="D2" s="21">
        <v>0</v>
      </c>
      <c r="E2" s="21">
        <v>7.400000000000001E-2</v>
      </c>
      <c r="F2" s="26">
        <v>310</v>
      </c>
    </row>
    <row r="3" spans="1:6">
      <c r="A3" s="25" t="s">
        <v>24</v>
      </c>
      <c r="B3" s="20" t="s">
        <v>19</v>
      </c>
      <c r="C3" s="21"/>
      <c r="D3" s="21">
        <v>0.45700000000000002</v>
      </c>
      <c r="E3" s="21">
        <v>7.6999999999999999E-2</v>
      </c>
      <c r="F3" s="26">
        <v>78</v>
      </c>
    </row>
    <row r="4" spans="1:6">
      <c r="A4" s="25" t="s">
        <v>27</v>
      </c>
      <c r="B4" s="20" t="s">
        <v>19</v>
      </c>
      <c r="C4" s="21">
        <v>0</v>
      </c>
      <c r="D4" s="21">
        <v>0.42499999999999999</v>
      </c>
      <c r="E4" s="21">
        <v>0.113</v>
      </c>
      <c r="F4" s="26">
        <v>25</v>
      </c>
    </row>
    <row r="5" spans="1:6">
      <c r="A5" s="25" t="s">
        <v>31</v>
      </c>
      <c r="B5" s="20" t="s">
        <v>19</v>
      </c>
      <c r="C5" s="21">
        <v>1</v>
      </c>
      <c r="D5" s="21">
        <v>0.43</v>
      </c>
      <c r="E5" s="21">
        <v>0.11800000000000001</v>
      </c>
      <c r="F5" s="26">
        <v>185</v>
      </c>
    </row>
    <row r="6" spans="1:6" ht="15" thickBot="1">
      <c r="A6" s="27" t="s">
        <v>34</v>
      </c>
      <c r="B6" s="28" t="s">
        <v>19</v>
      </c>
      <c r="C6" s="29"/>
      <c r="D6" s="29">
        <v>0</v>
      </c>
      <c r="E6" s="29">
        <v>0.4</v>
      </c>
      <c r="F6" s="30">
        <v>107</v>
      </c>
    </row>
  </sheetData>
  <pageMargins left="0.7" right="0.7" top="0.75" bottom="0.75" header="0.3" footer="0.3"/>
  <pageSetup paperSize="9" orientation="portrait" r:id="rId1"/>
  <headerFooter>
    <oddHeader>&amp;L&amp;"arial"&amp;14&amp;K000000&amp;BClassification:&amp;B &amp;K6A1B9A&amp;BInternal</oddHeader>
    <evenHeader>&amp;L&amp;"arial"&amp;14&amp;K000000&amp;BClassification:&amp;B &amp;K6A1B9A&amp;BInternal</evenHeader>
    <firstHeader>&amp;L&amp;"arial"&amp;14&amp;K000000&amp;BClassification:&amp;B &amp;K6A1B9A&amp;BInternal</first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3DBA9-A855-4ACC-B71D-8D1A88520CCE}">
  <dimension ref="A1:E6"/>
  <sheetViews>
    <sheetView tabSelected="1" workbookViewId="0">
      <selection sqref="A1:E6"/>
    </sheetView>
  </sheetViews>
  <sheetFormatPr defaultRowHeight="14.25"/>
  <cols>
    <col min="1" max="1" width="24.125" bestFit="1" customWidth="1"/>
    <col min="2" max="2" width="8.5" bestFit="1" customWidth="1"/>
    <col min="4" max="4" width="24.125" bestFit="1" customWidth="1"/>
  </cols>
  <sheetData>
    <row r="1" spans="1:5" ht="15" thickBot="1">
      <c r="A1" s="17" t="s">
        <v>54</v>
      </c>
      <c r="B1" s="18"/>
      <c r="D1" s="17" t="s">
        <v>62</v>
      </c>
      <c r="E1" s="18"/>
    </row>
    <row r="2" spans="1:5" ht="15" thickBot="1">
      <c r="A2" s="31" t="s">
        <v>55</v>
      </c>
      <c r="B2" s="32" t="s">
        <v>56</v>
      </c>
      <c r="D2" s="19" t="s">
        <v>55</v>
      </c>
      <c r="E2" s="19" t="s">
        <v>56</v>
      </c>
    </row>
    <row r="3" spans="1:5">
      <c r="A3" s="33" t="s">
        <v>40</v>
      </c>
      <c r="B3" s="34" t="s">
        <v>59</v>
      </c>
      <c r="D3" s="11" t="s">
        <v>40</v>
      </c>
      <c r="E3" s="12" t="s">
        <v>59</v>
      </c>
    </row>
    <row r="4" spans="1:5">
      <c r="A4" s="13" t="s">
        <v>60</v>
      </c>
      <c r="B4" s="14" t="s">
        <v>61</v>
      </c>
      <c r="D4" s="13" t="s">
        <v>60</v>
      </c>
      <c r="E4" s="14" t="s">
        <v>61</v>
      </c>
    </row>
    <row r="5" spans="1:5">
      <c r="A5" s="13" t="s">
        <v>38</v>
      </c>
      <c r="B5" s="14" t="s">
        <v>57</v>
      </c>
      <c r="D5" s="13" t="s">
        <v>38</v>
      </c>
      <c r="E5" s="14" t="s">
        <v>57</v>
      </c>
    </row>
    <row r="6" spans="1:5" ht="15" thickBot="1">
      <c r="A6" s="15" t="s">
        <v>39</v>
      </c>
      <c r="B6" s="16" t="s">
        <v>58</v>
      </c>
      <c r="D6" s="15" t="s">
        <v>39</v>
      </c>
      <c r="E6" s="16" t="s">
        <v>58</v>
      </c>
    </row>
  </sheetData>
  <mergeCells count="2">
    <mergeCell ref="A1:B1"/>
    <mergeCell ref="D1:E1"/>
  </mergeCells>
  <pageMargins left="0.7" right="0.7" top="0.75" bottom="0.75" header="0.3" footer="0.3"/>
  <pageSetup paperSize="9" orientation="portrait" r:id="rId1"/>
  <headerFooter>
    <oddHeader>&amp;L&amp;"arial"&amp;14&amp;K000000&amp;BClassification:&amp;B &amp;K6A1B9A&amp;BInternal</oddHeader>
    <evenHeader>&amp;L&amp;"arial"&amp;14&amp;K000000&amp;BClassification:&amp;B &amp;K6A1B9A&amp;BInternal</evenHeader>
    <firstHeader>&amp;L&amp;"arial"&amp;14&amp;K000000&amp;BClassification:&amp;B &amp;K6A1B9A&amp;BInternal</first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>
      <selection activeCell="F24" sqref="F24"/>
    </sheetView>
  </sheetViews>
  <sheetFormatPr defaultRowHeight="14.25"/>
  <cols>
    <col min="1" max="1" width="34" customWidth="1"/>
    <col min="2" max="3" width="16" customWidth="1"/>
  </cols>
  <sheetData>
    <row r="1" spans="1:6" ht="20.25">
      <c r="A1" s="8" t="s">
        <v>46</v>
      </c>
      <c r="B1" s="9"/>
      <c r="C1" s="9"/>
      <c r="D1" s="9"/>
      <c r="E1" s="9"/>
      <c r="F1" s="9"/>
    </row>
    <row r="3" spans="1:6" ht="15">
      <c r="A3" s="5" t="s">
        <v>47</v>
      </c>
      <c r="B3" s="6">
        <f>COUNTA('Status Report'!A2:A6)</f>
        <v>5</v>
      </c>
    </row>
    <row r="4" spans="1:6" ht="15">
      <c r="A4" s="5" t="s">
        <v>48</v>
      </c>
      <c r="B4" s="6">
        <f>COUNTIF('Status Report'!B2:B6,"Failed")</f>
        <v>5</v>
      </c>
    </row>
    <row r="5" spans="1:6" ht="15">
      <c r="A5" s="5" t="s">
        <v>49</v>
      </c>
      <c r="B5" s="7">
        <f>AVERAGE('Status Report'!K2:K6)</f>
        <v>0.26240000000000002</v>
      </c>
    </row>
    <row r="6" spans="1:6" ht="15">
      <c r="A6" s="5" t="s">
        <v>50</v>
      </c>
      <c r="B6" s="7">
        <f>AVERAGE('Status Report'!L2:L6)</f>
        <v>0.15640000000000001</v>
      </c>
    </row>
    <row r="7" spans="1:6" ht="15">
      <c r="A7" s="5" t="s">
        <v>51</v>
      </c>
      <c r="B7" s="6">
        <f>COUNTIF('Status Report'!K2:K6,"&lt;0.4")</f>
        <v>2</v>
      </c>
    </row>
    <row r="8" spans="1:6" ht="15">
      <c r="A8" s="5" t="s">
        <v>52</v>
      </c>
      <c r="B8" s="6">
        <f>COUNTIF('Status Report'!J2:J6,"&lt;1")</f>
        <v>1</v>
      </c>
    </row>
    <row r="9" spans="1:6" ht="15">
      <c r="A9" s="5" t="s">
        <v>53</v>
      </c>
      <c r="B9" s="6">
        <f>SUM('Status Report'!M2:M6)</f>
        <v>705</v>
      </c>
    </row>
    <row r="11" spans="1:6" ht="15">
      <c r="A11" s="1" t="s">
        <v>0</v>
      </c>
      <c r="B11" s="1" t="s">
        <v>10</v>
      </c>
      <c r="C11" s="1" t="s">
        <v>11</v>
      </c>
    </row>
    <row r="12" spans="1:6">
      <c r="A12" s="6" t="str">
        <f>'Status Report'!A2</f>
        <v>DXP-FE-TRAVEL-INSURANCE-V3</v>
      </c>
      <c r="B12" s="7">
        <f>'Status Report'!K2</f>
        <v>0</v>
      </c>
      <c r="C12" s="7">
        <f>'Status Report'!L2</f>
        <v>7.400000000000001E-2</v>
      </c>
    </row>
    <row r="13" spans="1:6">
      <c r="A13" s="6" t="str">
        <f>'Status Report'!A3</f>
        <v>DXP-BFF-WEB</v>
      </c>
      <c r="B13" s="7">
        <f>'Status Report'!K3</f>
        <v>0.45700000000000002</v>
      </c>
      <c r="C13" s="7">
        <f>'Status Report'!L3</f>
        <v>7.6999999999999999E-2</v>
      </c>
    </row>
    <row r="14" spans="1:6">
      <c r="A14" s="6" t="str">
        <f>'Status Report'!A4</f>
        <v>DXP-DH-RECOVERY-PORTAL-V3</v>
      </c>
      <c r="B14" s="7">
        <f>'Status Report'!K4</f>
        <v>0.42499999999999999</v>
      </c>
      <c r="C14" s="7">
        <f>'Status Report'!L4</f>
        <v>0.113</v>
      </c>
    </row>
    <row r="15" spans="1:6">
      <c r="A15" s="6" t="str">
        <f>'Status Report'!A5</f>
        <v>DXP-DH-WORKSHOP-PORTAL-V3</v>
      </c>
      <c r="B15" s="7">
        <f>'Status Report'!K5</f>
        <v>0.43</v>
      </c>
      <c r="C15" s="7">
        <f>'Status Report'!L5</f>
        <v>0.11800000000000001</v>
      </c>
    </row>
    <row r="16" spans="1:6">
      <c r="A16" s="6" t="str">
        <f>'Status Report'!A6</f>
        <v>DXP-FE-SALES-VISIT-VISA-V3</v>
      </c>
      <c r="B16" s="7">
        <f>'Status Report'!K6</f>
        <v>0</v>
      </c>
      <c r="C16" s="7">
        <f>'Status Report'!L6</f>
        <v>0.4</v>
      </c>
    </row>
  </sheetData>
  <mergeCells count="1">
    <mergeCell ref="A1:F1"/>
  </mergeCells>
  <pageMargins left="0.7" right="0.7" top="0.75" bottom="0.75" header="0.3" footer="0.3"/>
  <pageSetup paperSize="9" orientation="portrait" r:id="rId1"/>
  <headerFooter>
    <oddHeader>&amp;L&amp;"arial"&amp;14&amp;K000000&amp;BClassification:&amp;B &amp;K6A1B9A&amp;BInternal</oddHeader>
    <evenHeader>&amp;L&amp;"arial"&amp;14&amp;K000000&amp;BClassification:&amp;B &amp;K6A1B9A&amp;BInternal</evenHeader>
    <firstHeader>&amp;L&amp;"arial"&amp;14&amp;K000000&amp;BClassification:&amp;B &amp;K6A1B9A&amp;BInternal</first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Internal</attrValue>
  <customPropName>Classification</customPropName>
  <timestamp> 25/11/47 01:41:38 م</timestamp>
  <userName>TAWN\VDR000691</userName>
  <computerName>LTHQISD-A2Y480.TAWN.COM</computerName>
  <guid>{10cbb962-7ea9-4e60-b657-48c234db5c1c}</guid>
  <hdr>
    <r>
      <fontName>arial</fontName>
      <fontColor>000000</fontColor>
      <fontSize>14</fontSize>
      <b/>
      <text xml:space="preserve">Classification:</text>
    </r>
    <r>
      <fontName>arial</fontName>
      <fontColor>000000</fontColor>
      <fontSize>14</fontSize>
      <text xml:space="preserve"> </text>
    </r>
    <r>
      <fontName>arial</fontName>
      <fontColor>6A1B9A</fontColor>
      <fontSize>14</fontSize>
      <b/>
      <text xml:space="preserve">Internal</text>
    </r>
  </hdr>
</GTBClassification>
</file>

<file path=customXml/itemProps1.xml><?xml version="1.0" encoding="utf-8"?>
<ds:datastoreItem xmlns:ds="http://schemas.openxmlformats.org/officeDocument/2006/customXml" ds:itemID="{3BD4614E-6F63-46C7-BF5A-8F6C368E3EC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Status Report</vt:lpstr>
      <vt:lpstr>Sheet1</vt:lpstr>
      <vt:lpstr>Sheet2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ClassificationData:&lt;Classification:Internal&gt;</cp:keywords>
  <cp:lastModifiedBy>Mohamed Elarief</cp:lastModifiedBy>
  <dcterms:modified xsi:type="dcterms:W3CDTF">2026-05-12T12:16:48Z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ClassifiedBy">
    <vt:lpwstr>TAWN\VDR000691</vt:lpwstr>
  </property>
  <property fmtid="{D5CDD505-2E9C-101B-9397-08002B2CF9AE}" pid="4" name="ClassificationHost">
    <vt:lpwstr>LTHQISD-A2Y480.TAWN.COM</vt:lpwstr>
  </property>
  <property fmtid="{D5CDD505-2E9C-101B-9397-08002B2CF9AE}" pid="5" name="ClassificationDate">
    <vt:lpwstr> 25/11/47 01:41:38 م</vt:lpwstr>
  </property>
  <property fmtid="{D5CDD505-2E9C-101B-9397-08002B2CF9AE}" pid="6" name="ClassificationGUID">
    <vt:lpwstr>{10cbb962-7ea9-4e60-b657-48c234db5c1c}</vt:lpwstr>
  </property>
</Properties>
</file>