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76477A87-ACE6-4CA2-A84C-8F03A6008BFA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General!$A$3:$H$24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B6" i="1"/>
  <c r="D5" i="1"/>
  <c r="C5" i="1"/>
  <c r="B5" i="1"/>
  <c r="D4" i="1"/>
  <c r="C4" i="1"/>
  <c r="B4" i="1"/>
  <c r="E6" i="1" l="1"/>
  <c r="D8" i="1"/>
  <c r="E7" i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<sst xmlns="http://schemas.openxmlformats.org/spreadsheetml/2006/main" count="208" uniqueCount="112">
  <si>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</si>
  <si>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</si>
  <si>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</si>
  <si>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</si>
  <si>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</si>
  <si>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</si>
  <si>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</si>
  <si>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</si>
  <si>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</si>
  <si>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</si>
  <si>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</si>
  <si>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</si>
  <si>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</si>
  <si>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</si>
  <si>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</si>
  <si>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</si>
  <si>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</si>
  <si>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</si>
  <si>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</si>
  <si>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</si>
  <si>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</si>
  <si>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</si>
  <si>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</si>
  <si>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</si>
  <si>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</si>
  <si>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</si>
  <si>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</si>
  <si>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</si>
  <si>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</si>
  <si>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</si>
  <si>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</si>
  <si>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</si>
  <si>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</si>
  <si>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</si>
  <si>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</si>
  <si>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</si>
  <si>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</si>
  <si>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</si>
  <si>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</si>
  <si>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</si>
  <si>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</si>
  <si>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</si>
  <si>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</si>
  <si>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</si>
  <si>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</si>
  <si>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</si>
  <si>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</si>
  <si>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</si>
  <si>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</si>
  <si>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</si>
  <si>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</si>
  <si>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</si>
  <si>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</si>
  <si>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</si>
  <si>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</si>
  <si>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</si>
  <si>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</si>
  <si>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</si>
  <si>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</si>
  <si>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</si>
  <si>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</si>
  <si>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</si>
  <si>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</si>
  <si>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</si>
  <si>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</si>
  <si>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</si>
  <si>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</si>
  <si>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</si>
  <si>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</si>
  <si>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</si>
  <si>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</si>
  <si>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</si>
  <si>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</si>
  <si>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</si>
  <si>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</si>
  <si>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</si>
  <si>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</si>
  <si>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</si>
  <si>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</si>
  <si>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</si>
  <si>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</si>
  <si>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</si>
  <si>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</si>
  <si>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</si>
  <si>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</si>
  <si>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</si>
  <si>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</si>
  <si>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</si>
  <si>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</si>
  <si>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</si>
  <si>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</si>
  <si>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</si>
  <si>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</si>
  <si>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</si>
  <si>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</si>
  <si>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</si>
  <si>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</si>
  <si>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</si>
  <si>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one-page-payment</t>
  </si>
  <si>
    <t>Payment Gateway - One Page</t>
  </si>
  <si>
    <t>Moataz Reda</t>
  </si>
  <si>
    <t>Shailank Kumar</t>
  </si>
  <si>
    <t>Amro Hassan</t>
  </si>
  <si>
    <t>mbi-claims</t>
  </si>
  <si>
    <t>Yes</t>
  </si>
  <si>
    <t>motor-upgrade</t>
  </si>
  <si>
    <t>Release Group</t>
  </si>
  <si>
    <t>life-otp</t>
  </si>
  <si>
    <t>dh-claims</t>
  </si>
  <si>
    <t>acceptance-form</t>
  </si>
  <si>
    <t>Job Configured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</si>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</sst>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C31" sqref="C31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20" t="s">
        <v>0</v>
      </c>
      <c r="B1" s="20"/>
      <c r="C1" s="20"/>
      <c r="D1" s="20"/>
      <c r="E1" s="20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1</v>
      </c>
      <c r="C7" s="3">
        <f>COUNTIF(Payment!B4:B6,"Yes")</f>
        <v>1</v>
      </c>
      <c r="D7" s="3">
        <f>SUM(Payment!C4:C6)</f>
        <v>0</v>
      </c>
      <c r="E7" s="4">
        <f>IF(B7=0,0,C7/B7)</f>
        <v>1</v>
      </c>
    </row>
    <row r="8" spans="1:5" x14ac:dyDescent="0.25">
      <c r="A8" s="5" t="s">
        <v>10</v>
      </c>
      <c r="B8" s="6">
        <f>SUM(B4:B7)</f>
        <v>40</v>
      </c>
      <c r="C8" s="6">
        <f>SUM(C4:C7)</f>
        <v>40</v>
      </c>
      <c r="D8" s="6">
        <f>SUM(D4:D7)</f>
        <v>0</v>
      </c>
      <c r="E8" s="7">
        <f>IF(B8=0,0,C8/B8)</f>
        <v>1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G14"/>
  <sheetViews>
    <sheetView zoomScaleNormal="100" workbookViewId="0">
      <pane ySplit="3" topLeftCell="A4" activePane="bottomLeft" state="frozen"/>
      <selection pane="bottomLeft" activeCell="D31" sqref="D31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21" t="s">
        <v>11</v>
      </c>
      <c r="B1" s="21"/>
      <c r="C1" s="21"/>
      <c r="D1" s="21"/>
      <c r="E1" s="21"/>
      <c r="F1" s="21"/>
      <c r="G1" s="21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4" t="s">
        <v>19</v>
      </c>
      <c r="B4" s="10" t="s">
        <v>104</v>
      </c>
      <c r="C4" s="10">
        <v>0</v>
      </c>
      <c r="D4" s="9"/>
      <c r="E4" s="9" t="s">
        <v>20</v>
      </c>
      <c r="F4" s="9" t="s">
        <v>102</v>
      </c>
      <c r="G4" s="9"/>
    </row>
    <row r="5" spans="1:7" x14ac:dyDescent="0.25">
      <c r="A5" s="9" t="s">
        <v>105</v>
      </c>
      <c r="B5" s="10" t="s">
        <v>104</v>
      </c>
      <c r="C5" s="10">
        <v>0</v>
      </c>
      <c r="D5" s="9"/>
      <c r="E5" s="9"/>
      <c r="F5" s="9"/>
      <c r="G5" s="9"/>
    </row>
    <row r="6" spans="1:7" x14ac:dyDescent="0.25">
      <c r="A6" s="9" t="s">
        <v>21</v>
      </c>
      <c r="B6" s="10" t="s">
        <v>104</v>
      </c>
      <c r="C6" s="10">
        <v>0</v>
      </c>
      <c r="D6" s="9"/>
      <c r="E6" s="9" t="s">
        <v>22</v>
      </c>
      <c r="F6" s="9" t="s">
        <v>102</v>
      </c>
      <c r="G6" s="9"/>
    </row>
    <row r="7" spans="1:7" x14ac:dyDescent="0.25">
      <c r="A7" s="9" t="s">
        <v>103</v>
      </c>
      <c r="B7" s="10" t="s">
        <v>104</v>
      </c>
      <c r="C7" s="10">
        <v>0</v>
      </c>
      <c r="D7" s="9"/>
      <c r="E7" s="9"/>
      <c r="F7" s="9"/>
      <c r="G7" s="9"/>
    </row>
    <row r="8" spans="1:7" x14ac:dyDescent="0.25">
      <c r="A8" s="9" t="s">
        <v>23</v>
      </c>
      <c r="B8" s="10" t="s">
        <v>104</v>
      </c>
      <c r="C8" s="10">
        <v>0</v>
      </c>
      <c r="D8" s="9"/>
      <c r="E8" s="9" t="s">
        <v>24</v>
      </c>
      <c r="F8" s="9" t="s">
        <v>102</v>
      </c>
      <c r="G8" s="9"/>
    </row>
    <row r="9" spans="1:7" x14ac:dyDescent="0.25">
      <c r="A9" s="9" t="s">
        <v>25</v>
      </c>
      <c r="B9" s="10" t="s">
        <v>104</v>
      </c>
      <c r="C9" s="10">
        <v>0</v>
      </c>
      <c r="D9" s="9"/>
      <c r="E9" s="9" t="s">
        <v>26</v>
      </c>
      <c r="F9" s="9" t="s">
        <v>102</v>
      </c>
      <c r="G9" s="9"/>
    </row>
    <row r="10" spans="1:7" x14ac:dyDescent="0.25">
      <c r="A10" s="9" t="s">
        <v>27</v>
      </c>
      <c r="B10" s="10" t="s">
        <v>104</v>
      </c>
      <c r="C10" s="10">
        <v>0</v>
      </c>
      <c r="D10" s="9"/>
      <c r="E10" s="9" t="s">
        <v>28</v>
      </c>
      <c r="F10" s="9" t="s">
        <v>102</v>
      </c>
      <c r="G10" s="9"/>
    </row>
    <row r="11" spans="1:7" x14ac:dyDescent="0.25">
      <c r="A11" s="9" t="s">
        <v>29</v>
      </c>
      <c r="B11" s="10" t="s">
        <v>104</v>
      </c>
      <c r="C11" s="10">
        <v>0</v>
      </c>
      <c r="D11" s="9"/>
      <c r="E11" s="9" t="s">
        <v>30</v>
      </c>
      <c r="F11" s="9" t="s">
        <v>102</v>
      </c>
      <c r="G11" s="9"/>
    </row>
    <row r="12" spans="1:7" x14ac:dyDescent="0.25">
      <c r="A12" s="9" t="s">
        <v>31</v>
      </c>
      <c r="B12" s="10" t="s">
        <v>104</v>
      </c>
      <c r="C12" s="10">
        <v>0</v>
      </c>
      <c r="D12" s="9"/>
      <c r="E12" s="9" t="s">
        <v>32</v>
      </c>
      <c r="F12" s="9" t="s">
        <v>102</v>
      </c>
      <c r="G12" s="9"/>
    </row>
    <row r="13" spans="1:7" x14ac:dyDescent="0.25">
      <c r="A13" s="9" t="s">
        <v>33</v>
      </c>
      <c r="B13" s="10" t="s">
        <v>104</v>
      </c>
      <c r="C13" s="10">
        <v>0</v>
      </c>
      <c r="D13" s="9"/>
      <c r="E13" s="9" t="s">
        <v>34</v>
      </c>
      <c r="F13" s="9" t="s">
        <v>102</v>
      </c>
      <c r="G13" s="9"/>
    </row>
    <row r="14" spans="1:7" x14ac:dyDescent="0.25">
      <c r="A14" s="9" t="s">
        <v>35</v>
      </c>
      <c r="B14" s="10" t="s">
        <v>104</v>
      </c>
      <c r="C14" s="10">
        <v>0</v>
      </c>
      <c r="D14" s="9"/>
      <c r="E14" s="9" t="s">
        <v>36</v>
      </c>
      <c r="F14" s="9" t="s">
        <v>102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G10"/>
  <sheetViews>
    <sheetView zoomScaleNormal="100" workbookViewId="0">
      <pane ySplit="3" topLeftCell="A4" activePane="bottomLeft" state="frozen"/>
      <selection pane="bottomLeft" activeCell="D30" sqref="D30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22" t="s">
        <v>37</v>
      </c>
      <c r="B1" s="22"/>
      <c r="C1" s="22"/>
      <c r="D1" s="22"/>
      <c r="E1" s="22"/>
      <c r="F1" s="22"/>
      <c r="G1" s="22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14" t="s">
        <v>50</v>
      </c>
      <c r="B4" s="10" t="s">
        <v>104</v>
      </c>
      <c r="C4" s="10">
        <v>0</v>
      </c>
      <c r="D4" s="9"/>
      <c r="E4" s="9" t="s">
        <v>51</v>
      </c>
      <c r="F4" s="9" t="s">
        <v>101</v>
      </c>
      <c r="G4" s="9"/>
    </row>
    <row r="5" spans="1:7" x14ac:dyDescent="0.25">
      <c r="A5" s="9" t="s">
        <v>38</v>
      </c>
      <c r="B5" s="10" t="s">
        <v>104</v>
      </c>
      <c r="C5" s="10">
        <v>0</v>
      </c>
      <c r="D5" s="9"/>
      <c r="E5" s="9" t="s">
        <v>39</v>
      </c>
      <c r="F5" s="9" t="s">
        <v>101</v>
      </c>
      <c r="G5" s="9"/>
    </row>
    <row r="6" spans="1:7" x14ac:dyDescent="0.25">
      <c r="A6" s="9" t="s">
        <v>40</v>
      </c>
      <c r="B6" s="10" t="s">
        <v>104</v>
      </c>
      <c r="C6" s="10">
        <v>0</v>
      </c>
      <c r="D6" s="9"/>
      <c r="E6" s="9" t="s">
        <v>41</v>
      </c>
      <c r="F6" s="9" t="s">
        <v>101</v>
      </c>
      <c r="G6" s="9"/>
    </row>
    <row r="7" spans="1:7" x14ac:dyDescent="0.25">
      <c r="A7" s="9" t="s">
        <v>42</v>
      </c>
      <c r="B7" s="10" t="s">
        <v>104</v>
      </c>
      <c r="C7" s="10">
        <v>0</v>
      </c>
      <c r="D7" s="9"/>
      <c r="E7" s="9" t="s">
        <v>43</v>
      </c>
      <c r="F7" s="9" t="s">
        <v>101</v>
      </c>
      <c r="G7" s="9"/>
    </row>
    <row r="8" spans="1:7" x14ac:dyDescent="0.25">
      <c r="A8" s="9" t="s">
        <v>44</v>
      </c>
      <c r="B8" s="10" t="s">
        <v>104</v>
      </c>
      <c r="C8" s="10">
        <v>0</v>
      </c>
      <c r="D8" s="9"/>
      <c r="E8" s="9" t="s">
        <v>45</v>
      </c>
      <c r="F8" s="9" t="s">
        <v>101</v>
      </c>
      <c r="G8" s="9"/>
    </row>
    <row r="9" spans="1:7" x14ac:dyDescent="0.25">
      <c r="A9" s="9" t="s">
        <v>46</v>
      </c>
      <c r="B9" s="10" t="s">
        <v>104</v>
      </c>
      <c r="C9" s="10">
        <v>0</v>
      </c>
      <c r="D9" s="9"/>
      <c r="E9" s="9" t="s">
        <v>47</v>
      </c>
      <c r="F9" s="9" t="s">
        <v>101</v>
      </c>
      <c r="G9" s="9"/>
    </row>
    <row r="10" spans="1:7" x14ac:dyDescent="0.25">
      <c r="A10" s="9" t="s">
        <v>48</v>
      </c>
      <c r="B10" s="10" t="s">
        <v>104</v>
      </c>
      <c r="C10" s="10">
        <v>0</v>
      </c>
      <c r="D10" s="9"/>
      <c r="E10" s="9" t="s">
        <v>49</v>
      </c>
      <c r="F10" s="9" t="s">
        <v>101</v>
      </c>
      <c r="G10" s="9"/>
    </row>
  </sheetData>
  <autoFilter ref="A3:G11" xr:uid="{00000000-0009-0000-0000-000002000000}">
    <sortState xmlns:xlrd2="http://schemas.microsoft.com/office/spreadsheetml/2017/richdata2" ref="A4:G10">
      <sortCondition sortBy="cellColor" ref="A3:A11" dxfId="0"/>
    </sortState>
  </autoFilter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H30"/>
  <sheetViews>
    <sheetView tabSelected="1" zoomScaleNormal="100" workbookViewId="0">
      <pane ySplit="3" topLeftCell="A4" activePane="bottomLeft" state="frozen"/>
      <selection pane="bottomLeft" activeCell="C33" sqref="C33"/>
    </sheetView>
  </sheetViews>
  <sheetFormatPr defaultColWidth="8.7109375" defaultRowHeight="15" x14ac:dyDescent="0.25"/>
  <cols>
    <col min="1" max="1" width="30" customWidth="1"/>
    <col min="2" max="2" width="21.42578125" bestFit="1" customWidth="1"/>
    <col min="3" max="3" width="24" customWidth="1"/>
    <col min="4" max="4" width="34.28515625" customWidth="1"/>
    <col min="5" max="5" width="34.28515625" style="15" customWidth="1"/>
    <col min="6" max="6" width="29" customWidth="1"/>
    <col min="7" max="7" width="21.7109375" customWidth="1"/>
    <col min="8" max="8" width="51" style="19" customWidth="1"/>
  </cols>
  <sheetData>
    <row r="1" spans="1:8" ht="24" customHeight="1" x14ac:dyDescent="0.25">
      <c r="A1" s="23" t="s">
        <v>54</v>
      </c>
      <c r="B1" s="23"/>
      <c r="C1" s="23"/>
      <c r="D1" s="23"/>
      <c r="E1" s="23"/>
      <c r="F1" s="23"/>
      <c r="G1" s="23"/>
      <c r="H1" s="23"/>
    </row>
    <row r="3" spans="1:8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106</v>
      </c>
      <c r="F3" s="12" t="s">
        <v>16</v>
      </c>
      <c r="G3" s="12" t="s">
        <v>17</v>
      </c>
      <c r="H3" s="12" t="s">
        <v>110</v>
      </c>
    </row>
    <row r="4" spans="1:8" x14ac:dyDescent="0.25">
      <c r="A4" s="16" t="s">
        <v>55</v>
      </c>
      <c r="B4" s="10" t="s">
        <v>104</v>
      </c>
      <c r="C4" s="10">
        <v>0</v>
      </c>
      <c r="D4" s="9"/>
      <c r="E4" s="10">
        <v>1</v>
      </c>
      <c r="F4" s="9" t="s">
        <v>56</v>
      </c>
      <c r="G4" s="9" t="s">
        <v>100</v>
      </c>
      <c r="H4" s="10" t="s">
        <v>111</v>
      </c>
    </row>
    <row r="5" spans="1:8" x14ac:dyDescent="0.25">
      <c r="A5" s="16" t="s">
        <v>69</v>
      </c>
      <c r="B5" s="10" t="s">
        <v>104</v>
      </c>
      <c r="C5" s="10">
        <v>0</v>
      </c>
      <c r="D5" s="9"/>
      <c r="E5" s="10">
        <v>1</v>
      </c>
      <c r="F5" s="9" t="s">
        <v>70</v>
      </c>
      <c r="G5" s="9" t="s">
        <v>100</v>
      </c>
      <c r="H5" s="10"/>
    </row>
    <row r="6" spans="1:8" x14ac:dyDescent="0.25">
      <c r="A6" s="16" t="s">
        <v>52</v>
      </c>
      <c r="B6" s="10" t="s">
        <v>104</v>
      </c>
      <c r="C6" s="10">
        <v>0</v>
      </c>
      <c r="D6" s="9"/>
      <c r="E6" s="10">
        <v>1</v>
      </c>
      <c r="F6" s="9" t="s">
        <v>53</v>
      </c>
      <c r="G6" s="9" t="s">
        <v>100</v>
      </c>
      <c r="H6" s="10"/>
    </row>
    <row r="7" spans="1:8" x14ac:dyDescent="0.25">
      <c r="A7" s="17" t="s">
        <v>65</v>
      </c>
      <c r="B7" s="10" t="s">
        <v>104</v>
      </c>
      <c r="C7" s="10">
        <v>0</v>
      </c>
      <c r="D7" s="9"/>
      <c r="E7" s="10">
        <v>2</v>
      </c>
      <c r="F7" s="9" t="s">
        <v>66</v>
      </c>
      <c r="G7" s="9" t="s">
        <v>100</v>
      </c>
      <c r="H7" s="10"/>
    </row>
    <row r="8" spans="1:8" x14ac:dyDescent="0.25">
      <c r="A8" s="17" t="s">
        <v>87</v>
      </c>
      <c r="B8" s="10" t="s">
        <v>104</v>
      </c>
      <c r="C8" s="10">
        <v>0</v>
      </c>
      <c r="D8" s="9"/>
      <c r="E8" s="10">
        <v>2</v>
      </c>
      <c r="F8" s="9" t="s">
        <v>88</v>
      </c>
      <c r="G8" s="9" t="s">
        <v>100</v>
      </c>
      <c r="H8" s="10"/>
    </row>
    <row r="9" spans="1:8" x14ac:dyDescent="0.25">
      <c r="A9" s="17" t="s">
        <v>93</v>
      </c>
      <c r="B9" s="10" t="s">
        <v>104</v>
      </c>
      <c r="C9" s="10">
        <v>0</v>
      </c>
      <c r="D9" s="9"/>
      <c r="E9" s="10">
        <v>2</v>
      </c>
      <c r="F9" s="9" t="s">
        <v>94</v>
      </c>
      <c r="G9" s="9" t="s">
        <v>100</v>
      </c>
      <c r="H9" s="10"/>
    </row>
    <row r="10" spans="1:8" x14ac:dyDescent="0.25">
      <c r="A10" s="9" t="s">
        <v>57</v>
      </c>
      <c r="B10" s="10" t="s">
        <v>104</v>
      </c>
      <c r="C10" s="10">
        <v>0</v>
      </c>
      <c r="D10" s="9"/>
      <c r="E10" s="10"/>
      <c r="F10" s="9" t="s">
        <v>58</v>
      </c>
      <c r="G10" s="9" t="s">
        <v>100</v>
      </c>
      <c r="H10" s="10"/>
    </row>
    <row r="11" spans="1:8" x14ac:dyDescent="0.25">
      <c r="A11" s="9" t="s">
        <v>59</v>
      </c>
      <c r="B11" s="10" t="s">
        <v>104</v>
      </c>
      <c r="C11" s="10">
        <v>0</v>
      </c>
      <c r="D11" s="9"/>
      <c r="E11" s="10"/>
      <c r="F11" s="9" t="s">
        <v>60</v>
      </c>
      <c r="G11" s="9" t="s">
        <v>100</v>
      </c>
      <c r="H11" s="10"/>
    </row>
    <row r="12" spans="1:8" x14ac:dyDescent="0.25">
      <c r="A12" s="9" t="s">
        <v>61</v>
      </c>
      <c r="B12" s="10" t="s">
        <v>104</v>
      </c>
      <c r="C12" s="10">
        <v>0</v>
      </c>
      <c r="D12" s="9"/>
      <c r="E12" s="10"/>
      <c r="F12" s="9" t="s">
        <v>62</v>
      </c>
      <c r="G12" s="9" t="s">
        <v>100</v>
      </c>
      <c r="H12" s="10"/>
    </row>
    <row r="13" spans="1:8" x14ac:dyDescent="0.25">
      <c r="A13" s="9" t="s">
        <v>63</v>
      </c>
      <c r="B13" s="10" t="s">
        <v>104</v>
      </c>
      <c r="C13" s="10">
        <v>0</v>
      </c>
      <c r="D13" s="9"/>
      <c r="E13" s="10"/>
      <c r="F13" s="9" t="s">
        <v>64</v>
      </c>
      <c r="G13" s="9" t="s">
        <v>100</v>
      </c>
      <c r="H13" s="10"/>
    </row>
    <row r="14" spans="1:8" x14ac:dyDescent="0.25">
      <c r="A14" s="9" t="s">
        <v>67</v>
      </c>
      <c r="B14" s="10" t="s">
        <v>104</v>
      </c>
      <c r="C14" s="10">
        <v>0</v>
      </c>
      <c r="D14" s="9"/>
      <c r="E14" s="10"/>
      <c r="F14" s="9" t="s">
        <v>68</v>
      </c>
      <c r="G14" s="9" t="s">
        <v>100</v>
      </c>
      <c r="H14" s="10"/>
    </row>
    <row r="15" spans="1:8" x14ac:dyDescent="0.25">
      <c r="A15" s="9" t="s">
        <v>71</v>
      </c>
      <c r="B15" s="10" t="s">
        <v>104</v>
      </c>
      <c r="C15" s="10">
        <v>0</v>
      </c>
      <c r="D15" s="9"/>
      <c r="E15" s="10"/>
      <c r="F15" s="9" t="s">
        <v>72</v>
      </c>
      <c r="G15" s="9" t="s">
        <v>100</v>
      </c>
      <c r="H15" s="10"/>
    </row>
    <row r="16" spans="1:8" x14ac:dyDescent="0.25">
      <c r="A16" s="14" t="s">
        <v>73</v>
      </c>
      <c r="B16" s="10" t="s">
        <v>104</v>
      </c>
      <c r="C16" s="10">
        <v>0</v>
      </c>
      <c r="D16" s="9"/>
      <c r="E16" s="10"/>
      <c r="F16" s="9" t="s">
        <v>74</v>
      </c>
      <c r="G16" s="9" t="s">
        <v>100</v>
      </c>
      <c r="H16" s="10"/>
    </row>
    <row r="17" spans="1:8" x14ac:dyDescent="0.25">
      <c r="A17" s="9" t="s">
        <v>75</v>
      </c>
      <c r="B17" s="10" t="s">
        <v>104</v>
      </c>
      <c r="C17" s="10">
        <v>0</v>
      </c>
      <c r="D17" s="9"/>
      <c r="E17" s="10"/>
      <c r="F17" s="9" t="s">
        <v>76</v>
      </c>
      <c r="G17" s="9" t="s">
        <v>100</v>
      </c>
      <c r="H17" s="10"/>
    </row>
    <row r="18" spans="1:8" x14ac:dyDescent="0.25">
      <c r="A18" s="9" t="s">
        <v>77</v>
      </c>
      <c r="B18" s="10" t="s">
        <v>104</v>
      </c>
      <c r="C18" s="10">
        <v>0</v>
      </c>
      <c r="D18" s="9"/>
      <c r="E18" s="10"/>
      <c r="F18" s="9" t="s">
        <v>78</v>
      </c>
      <c r="G18" s="9" t="s">
        <v>100</v>
      </c>
      <c r="H18" s="10"/>
    </row>
    <row r="19" spans="1:8" x14ac:dyDescent="0.25">
      <c r="A19" s="25" t="s">
        <v>79</v>
      </c>
      <c r="B19" s="10" t="s">
        <v>104</v>
      </c>
      <c r="C19" s="10">
        <v>0</v>
      </c>
      <c r="D19" s="9"/>
      <c r="E19" s="10"/>
      <c r="F19" s="9" t="s">
        <v>80</v>
      </c>
      <c r="G19" s="9" t="s">
        <v>100</v>
      </c>
      <c r="H19" s="10"/>
    </row>
    <row r="20" spans="1:8" x14ac:dyDescent="0.25">
      <c r="A20" s="25" t="s">
        <v>81</v>
      </c>
      <c r="B20" s="10" t="s">
        <v>104</v>
      </c>
      <c r="C20" s="10">
        <v>0</v>
      </c>
      <c r="D20" s="9"/>
      <c r="E20" s="10"/>
      <c r="F20" s="9" t="s">
        <v>82</v>
      </c>
      <c r="G20" s="9" t="s">
        <v>100</v>
      </c>
      <c r="H20" s="10"/>
    </row>
    <row r="21" spans="1:8" x14ac:dyDescent="0.25">
      <c r="A21" s="9" t="s">
        <v>83</v>
      </c>
      <c r="B21" s="10" t="s">
        <v>104</v>
      </c>
      <c r="C21" s="10">
        <v>0</v>
      </c>
      <c r="D21" s="9"/>
      <c r="E21" s="10"/>
      <c r="F21" s="9" t="s">
        <v>84</v>
      </c>
      <c r="G21" s="9" t="s">
        <v>100</v>
      </c>
      <c r="H21" s="10"/>
    </row>
    <row r="22" spans="1:8" x14ac:dyDescent="0.25">
      <c r="A22" s="9" t="s">
        <v>85</v>
      </c>
      <c r="B22" s="10" t="s">
        <v>104</v>
      </c>
      <c r="C22" s="10">
        <v>0</v>
      </c>
      <c r="D22" s="9"/>
      <c r="E22" s="10"/>
      <c r="F22" s="9" t="s">
        <v>86</v>
      </c>
      <c r="G22" s="9" t="s">
        <v>100</v>
      </c>
      <c r="H22" s="10"/>
    </row>
    <row r="23" spans="1:8" x14ac:dyDescent="0.25">
      <c r="A23" s="9" t="s">
        <v>89</v>
      </c>
      <c r="B23" s="10" t="s">
        <v>104</v>
      </c>
      <c r="C23" s="10">
        <v>0</v>
      </c>
      <c r="D23" s="9"/>
      <c r="E23" s="10"/>
      <c r="F23" s="9" t="s">
        <v>90</v>
      </c>
      <c r="G23" s="9" t="s">
        <v>100</v>
      </c>
      <c r="H23" s="10"/>
    </row>
    <row r="24" spans="1:8" x14ac:dyDescent="0.25">
      <c r="A24" s="9" t="s">
        <v>91</v>
      </c>
      <c r="B24" s="10" t="s">
        <v>104</v>
      </c>
      <c r="C24" s="10">
        <v>0</v>
      </c>
      <c r="D24" s="9"/>
      <c r="E24" s="10"/>
      <c r="F24" s="9" t="s">
        <v>92</v>
      </c>
      <c r="G24" s="9" t="s">
        <v>100</v>
      </c>
      <c r="H24" s="10"/>
    </row>
    <row r="25" spans="1:8" x14ac:dyDescent="0.25">
      <c r="A25" s="9" t="s">
        <v>95</v>
      </c>
      <c r="B25" s="10" t="s">
        <v>104</v>
      </c>
      <c r="C25" s="10">
        <v>0</v>
      </c>
      <c r="D25" s="9"/>
      <c r="E25" s="10"/>
      <c r="F25" s="9" t="s">
        <v>96</v>
      </c>
      <c r="G25" s="9" t="s">
        <v>100</v>
      </c>
      <c r="H25" s="10"/>
    </row>
    <row r="28" spans="1:8" x14ac:dyDescent="0.25">
      <c r="A28" s="18" t="s">
        <v>107</v>
      </c>
    </row>
    <row r="29" spans="1:8" x14ac:dyDescent="0.25">
      <c r="A29" s="18" t="s">
        <v>108</v>
      </c>
    </row>
    <row r="30" spans="1:8" x14ac:dyDescent="0.25">
      <c r="A30" s="18" t="s">
        <v>109</v>
      </c>
    </row>
  </sheetData>
  <autoFilter ref="A3:H24" xr:uid="{00000000-0009-0000-0000-000003000000}">
    <sortState xmlns:xlrd2="http://schemas.microsoft.com/office/spreadsheetml/2017/richdata2" ref="A4:H25">
      <sortCondition ref="E3:E24"/>
    </sortState>
  </autoFilter>
  <mergeCells count="1">
    <mergeCell ref="A1:H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G6"/>
  <sheetViews>
    <sheetView zoomScaleNormal="100" workbookViewId="0">
      <pane ySplit="3" topLeftCell="A4" activePane="bottomLeft" state="frozen"/>
      <selection pane="bottomLeft" activeCell="E30" sqref="E30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24" t="s">
        <v>97</v>
      </c>
      <c r="B1" s="24"/>
      <c r="C1" s="24"/>
      <c r="D1" s="24"/>
      <c r="E1" s="24"/>
      <c r="F1" s="24"/>
      <c r="G1" s="24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/>
      <c r="B4" s="10"/>
      <c r="C4" s="10"/>
      <c r="D4" s="9"/>
      <c r="E4" s="9"/>
      <c r="F4" s="9"/>
      <c r="G4" s="9"/>
    </row>
    <row r="5" spans="1:7" x14ac:dyDescent="0.25">
      <c r="A5" s="25" t="s">
        <v>98</v>
      </c>
      <c r="B5" s="10" t="s">
        <v>104</v>
      </c>
      <c r="C5" s="10">
        <v>0</v>
      </c>
      <c r="D5" s="9"/>
      <c r="E5" s="9" t="s">
        <v>99</v>
      </c>
      <c r="F5" s="9" t="s">
        <v>100</v>
      </c>
      <c r="G5" s="9"/>
    </row>
    <row r="6" spans="1:7" x14ac:dyDescent="0.25">
      <c r="A6" s="9"/>
      <c r="B6" s="10"/>
      <c r="C6" s="10"/>
      <c r="D6" s="9"/>
      <c r="E6" s="9"/>
      <c r="F6" s="9"/>
      <c r="G6" s="9"/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2026-08-03T12:59:51Z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