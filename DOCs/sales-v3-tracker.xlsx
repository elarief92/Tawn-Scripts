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VDR000691\Documents\Tawn-Scripts\DOCs\"/>
    </mc:Choice>
  </mc:AlternateContent>
  <xr:revisionPtr revIDLastSave="0" documentId="13_ncr:1_{220BD907-830C-40B1-B4CC-7AC155B0B292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Summary" sheetId="1" r:id="rId1"/>
    <sheet name="Motor" sheetId="2" r:id="rId2"/>
    <sheet name="Health" sheetId="3" r:id="rId3"/>
    <sheet name="General" sheetId="4" r:id="rId4"/>
    <sheet name="Payment" sheetId="5" r:id="rId5"/>
  </sheets>
  <definedNames>
    <definedName name="_xlnm._FilterDatabase" localSheetId="3" hidden="1">General!$A$3:$H$24</definedName>
    <definedName name="_xlnm._FilterDatabase" localSheetId="2" hidden="1">Health!$A$3:$G$10</definedName>
    <definedName name="_xlnm._FilterDatabase" localSheetId="1" hidden="1">Motor!$A$3:$G$14</definedName>
    <definedName name="_xlnm._FilterDatabase" localSheetId="4" hidden="1">Payment!$A$3:$G$6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C7" i="1"/>
  <c r="B7" i="1"/>
  <c r="D6" i="1"/>
  <c r="C6" i="1"/>
  <c r="B6" i="1"/>
  <c r="D5" i="1"/>
  <c r="C5" i="1"/>
  <c r="B5" i="1"/>
  <c r="D4" i="1"/>
  <c r="C4" i="1"/>
  <c r="B4" i="1"/>
  <c r="E6" i="1" l="1"/>
  <c r="D8" i="1"/>
  <c r="E7" i="1"/>
  <c r="B8" i="1"/>
  <c r="E4" i="1"/>
  <c r="E5" i="1"/>
  <c r="C8" i="1"/>
  <c r="E8" i="1" l="1"/>
</calcChain>
</file>

<file path=xl/sharedStrings.xml><?xml version="1.0" encoding="utf-8"?>
<sst xmlns="http://schemas.openxmlformats.org/spreadsheetml/2006/main" count="208" uniqueCount="112">
  <si>
    <t>Monorepo Split - Migration Dashboard (Tawuniya digital products)</t>
  </si>
  <si>
    <t>Target Repo</t>
  </si>
  <si>
    <t>Products</t>
  </si>
  <si>
    <t>Pipelines Updated</t>
  </si>
  <si>
    <t>Open CRs</t>
  </si>
  <si>
    <t>% Pipelines Done</t>
  </si>
  <si>
    <t>DH-Motor-V3</t>
  </si>
  <si>
    <t>DH-Health-V3</t>
  </si>
  <si>
    <t>DH-General-V3</t>
  </si>
  <si>
    <t>DH-Payment-V3</t>
  </si>
  <si>
    <t>TOTAL</t>
  </si>
  <si>
    <t>Motor Monorepo Migration Tracker  -  target repo: DH-Motor-V3</t>
  </si>
  <si>
    <t>Product Name</t>
  </si>
  <si>
    <t>Pipeline Updated</t>
  </si>
  <si>
    <t>Number of Current CRs</t>
  </si>
  <si>
    <t>CRs Details</t>
  </si>
  <si>
    <t>Sub Category</t>
  </si>
  <si>
    <t>Owner</t>
  </si>
  <si>
    <t>Notes</t>
  </si>
  <si>
    <t>motor</t>
  </si>
  <si>
    <t>Motor Retail (Individual)</t>
  </si>
  <si>
    <t>motor-sme</t>
  </si>
  <si>
    <t>Motor SME / Fleet</t>
  </si>
  <si>
    <t>mbi</t>
  </si>
  <si>
    <t>Mechanical Breakdown Insurance</t>
  </si>
  <si>
    <t>flex</t>
  </si>
  <si>
    <t>Motor Flex (pay-per-use)</t>
  </si>
  <si>
    <t>tele</t>
  </si>
  <si>
    <t>Telematics Motor</t>
  </si>
  <si>
    <t>cross-border</t>
  </si>
  <si>
    <t>Cross-Border Vehicle Cover</t>
  </si>
  <si>
    <t>drive-registration</t>
  </si>
  <si>
    <t>Driver Registration</t>
  </si>
  <si>
    <t>claims</t>
  </si>
  <si>
    <t>Motor Claims (Najm/Taqdeer)</t>
  </si>
  <si>
    <t>urban-mobility-claim</t>
  </si>
  <si>
    <t>Urban Mobility Claims</t>
  </si>
  <si>
    <t>Health Monorepo Migration Tracker  -  target repo: DH-Health-V3</t>
  </si>
  <si>
    <t>medicalsme</t>
  </si>
  <si>
    <t>Medical SME (direct)</t>
  </si>
  <si>
    <t>medicalsme-crm</t>
  </si>
  <si>
    <t>Medical SME (CRM channel)</t>
  </si>
  <si>
    <t>domestic-worker</t>
  </si>
  <si>
    <t>Domestic Worker Health</t>
  </si>
  <si>
    <t>parents-insurance</t>
  </si>
  <si>
    <t>Parents Health Insurance</t>
  </si>
  <si>
    <t>my-family-insurance</t>
  </si>
  <si>
    <t>Family Health Insurance</t>
  </si>
  <si>
    <t>premium-residency</t>
  </si>
  <si>
    <t>Premium Residency Health</t>
  </si>
  <si>
    <t>visit-visa</t>
  </si>
  <si>
    <t>Visit Visa Medical</t>
  </si>
  <si>
    <t>medical-malpractice</t>
  </si>
  <si>
    <t>Medical Malpractice</t>
  </si>
  <si>
    <t>General Monorepo Migration Tracker  -  target repo: DH-General-V3</t>
  </si>
  <si>
    <t>home-insurance</t>
  </si>
  <si>
    <t>Home / Property Retail</t>
  </si>
  <si>
    <t>property-and-casualty-360</t>
  </si>
  <si>
    <t>P&amp;C 360 (Commercial)</t>
  </si>
  <si>
    <t>inherent-defects-insurance</t>
  </si>
  <si>
    <t>Inherent Defects (IDI)</t>
  </si>
  <si>
    <t>marine-single-shipment</t>
  </si>
  <si>
    <t>Marine - Single Shipment</t>
  </si>
  <si>
    <t>marine-tpl</t>
  </si>
  <si>
    <t>Marine - TPL</t>
  </si>
  <si>
    <t>civil-liability</t>
  </si>
  <si>
    <t>Civil Liability</t>
  </si>
  <si>
    <t>consultants</t>
  </si>
  <si>
    <t>Consultants / Professional</t>
  </si>
  <si>
    <t>income-protection-insurance</t>
  </si>
  <si>
    <t>Income Protection (P&amp;S)</t>
  </si>
  <si>
    <t>sports-insurance</t>
  </si>
  <si>
    <t>Sports Insurance</t>
  </si>
  <si>
    <t>travel-insurance</t>
  </si>
  <si>
    <t>Travel Insurance</t>
  </si>
  <si>
    <t>dnata</t>
  </si>
  <si>
    <t>Travel - dnata Partner</t>
  </si>
  <si>
    <t>vfs</t>
  </si>
  <si>
    <t>Travel - VFS Partner</t>
  </si>
  <si>
    <t>amazon-warranty</t>
  </si>
  <si>
    <t>Extended Warranty (Amazon)</t>
  </si>
  <si>
    <t>tawuniya-dare</t>
  </si>
  <si>
    <t>Drive &amp; Earn / Usage-Based</t>
  </si>
  <si>
    <t>empolyer-delinquency-claim</t>
  </si>
  <si>
    <t>Employer Delinquency Claim</t>
  </si>
  <si>
    <t>unified-sme</t>
  </si>
  <si>
    <t>Unified SME Bundles</t>
  </si>
  <si>
    <t>surplus</t>
  </si>
  <si>
    <t>Surplus Distribution</t>
  </si>
  <si>
    <t>partnerships-landing</t>
  </si>
  <si>
    <t>Partnerships Landing</t>
  </si>
  <si>
    <t>tawuniya-care-survey</t>
  </si>
  <si>
    <t>Care Survey</t>
  </si>
  <si>
    <t>nourah</t>
  </si>
  <si>
    <t>Nourah Form</t>
  </si>
  <si>
    <t>welcome-kit</t>
  </si>
  <si>
    <t>Welcome Kit</t>
  </si>
  <si>
    <t>Payment Monorepo Migration Tracker  -  target repo: DH-Payment-V3</t>
  </si>
  <si>
    <t>one-page-payment</t>
  </si>
  <si>
    <t>Payment Gateway - One Page</t>
  </si>
  <si>
    <t>Moataz Reda</t>
  </si>
  <si>
    <t>Shailank Kumar</t>
  </si>
  <si>
    <t>Amro Hassan</t>
  </si>
  <si>
    <t>mbi-claims</t>
  </si>
  <si>
    <t>Yes</t>
  </si>
  <si>
    <t>motor-upgrade</t>
  </si>
  <si>
    <t>Release Group</t>
  </si>
  <si>
    <t>life-otp</t>
  </si>
  <si>
    <t>dh-claims</t>
  </si>
  <si>
    <t>acceptance-form</t>
  </si>
  <si>
    <t>Job Configured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</si>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</sst>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1"/>
      <color rgb="FF000000"/>
      <name val="Aptos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1F4E79"/>
        <bgColor rgb="FF003366"/>
      </patternFill>
    </fill>
    <fill>
      <patternFill patternType="solid">
        <fgColor rgb="FF2E7D32"/>
        <bgColor rgb="FF008000"/>
      </patternFill>
    </fill>
    <fill>
      <patternFill patternType="solid">
        <fgColor rgb="FF7B3F00"/>
        <bgColor rgb="FF993366"/>
      </patternFill>
    </fill>
    <fill>
      <patternFill patternType="solid">
        <fgColor rgb="FF5B2C6F"/>
        <bgColor rgb="FF404040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left" vertical="center"/>
    </xf>
    <xf numFmtId="0" fontId="5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10" borderId="1" xfId="0" applyFont="1" applyFill="1" applyBorder="1" applyAlignment="1">
      <alignment horizontal="left" vertical="center"/>
    </xf>
    <xf numFmtId="0" fontId="1" fillId="2" borderId="0" xfId="0" applyFont="1" applyFill="1" applyBorder="1"/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/>
    </xf>
    <xf numFmtId="0" fontId="1" fillId="5" borderId="0" xfId="0" applyFont="1" applyFill="1" applyBorder="1" applyAlignment="1">
      <alignment horizontal="left" vertical="center"/>
    </xf>
    <xf numFmtId="0" fontId="1" fillId="6" borderId="0" xfId="0" applyFont="1" applyFill="1" applyBorder="1" applyAlignment="1">
      <alignment horizontal="left" vertical="center"/>
    </xf>
    <xf numFmtId="0" fontId="3" fillId="11" borderId="1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 patternType="solid">
          <fgColor rgb="FF92D050"/>
          <bgColor rgb="FF00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5B2C6F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7B3F00"/>
      <rgbColor rgb="FF993366"/>
      <rgbColor rgb="FF1F4E7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zoomScaleNormal="100" workbookViewId="0">
      <selection activeCell="C31" sqref="C31"/>
    </sheetView>
  </sheetViews>
  <sheetFormatPr defaultColWidth="8.7109375" defaultRowHeight="15" x14ac:dyDescent="0.25"/>
  <cols>
    <col min="1" max="1" width="16" customWidth="1"/>
    <col min="2" max="2" width="26" customWidth="1"/>
    <col min="3" max="3" width="33" customWidth="1"/>
    <col min="4" max="4" width="23" customWidth="1"/>
    <col min="5" max="5" width="20" customWidth="1"/>
  </cols>
  <sheetData>
    <row r="1" spans="1:5" ht="24" customHeight="1" x14ac:dyDescent="0.25">
      <c r="A1" s="21" t="s">
        <v>0</v>
      </c>
      <c r="B1" s="21"/>
      <c r="C1" s="21"/>
      <c r="D1" s="21"/>
      <c r="E1" s="21"/>
    </row>
    <row r="3" spans="1:5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 spans="1:5" x14ac:dyDescent="0.25">
      <c r="A4" s="2" t="s">
        <v>6</v>
      </c>
      <c r="B4" s="3">
        <f>COUNTA(Motor!A4:A14)</f>
        <v>11</v>
      </c>
      <c r="C4" s="3">
        <f>COUNTIF(Motor!B4:B14,"Yes")</f>
        <v>11</v>
      </c>
      <c r="D4" s="3">
        <f>SUM(Motor!C4:C14)</f>
        <v>0</v>
      </c>
      <c r="E4" s="4">
        <f>IF(B4=0,0,C4/B4)</f>
        <v>1</v>
      </c>
    </row>
    <row r="5" spans="1:5" x14ac:dyDescent="0.25">
      <c r="A5" s="2" t="s">
        <v>7</v>
      </c>
      <c r="B5" s="3">
        <f>COUNTA(Health!A4:A10)</f>
        <v>7</v>
      </c>
      <c r="C5" s="3">
        <f>COUNTIF(Health!B4:B10,"Yes")</f>
        <v>7</v>
      </c>
      <c r="D5" s="3">
        <f>SUM(Health!C4:C10)</f>
        <v>0</v>
      </c>
      <c r="E5" s="4">
        <f>IF(B5=0,0,C5/B5)</f>
        <v>1</v>
      </c>
    </row>
    <row r="6" spans="1:5" x14ac:dyDescent="0.25">
      <c r="A6" s="2" t="s">
        <v>8</v>
      </c>
      <c r="B6" s="3">
        <f>COUNTA(General!A4:A24)</f>
        <v>21</v>
      </c>
      <c r="C6" s="3">
        <f>COUNTIF(General!B4:B24,"Yes")</f>
        <v>21</v>
      </c>
      <c r="D6" s="3">
        <f>SUM(General!C4:C24)</f>
        <v>0</v>
      </c>
      <c r="E6" s="4">
        <f>IF(B6=0,0,C6/B6)</f>
        <v>1</v>
      </c>
    </row>
    <row r="7" spans="1:5" x14ac:dyDescent="0.25">
      <c r="A7" s="2" t="s">
        <v>9</v>
      </c>
      <c r="B7" s="3">
        <f>COUNTA(Payment!A4:A6)</f>
        <v>1</v>
      </c>
      <c r="C7" s="3">
        <f>COUNTIF(Payment!B4:B6,"Yes")</f>
        <v>1</v>
      </c>
      <c r="D7" s="3">
        <f>SUM(Payment!C4:C6)</f>
        <v>0</v>
      </c>
      <c r="E7" s="4">
        <f>IF(B7=0,0,C7/B7)</f>
        <v>1</v>
      </c>
    </row>
    <row r="8" spans="1:5" x14ac:dyDescent="0.25">
      <c r="A8" s="5" t="s">
        <v>10</v>
      </c>
      <c r="B8" s="6">
        <f>SUM(B4:B7)</f>
        <v>40</v>
      </c>
      <c r="C8" s="6">
        <f>SUM(C4:C7)</f>
        <v>40</v>
      </c>
      <c r="D8" s="6">
        <f>SUM(D4:D7)</f>
        <v>0</v>
      </c>
      <c r="E8" s="7">
        <f>IF(B8=0,0,C8/B8)</f>
        <v>1</v>
      </c>
    </row>
  </sheetData>
  <mergeCells count="1">
    <mergeCell ref="A1:E1"/>
  </mergeCells>
  <pageMargins left="0.75" right="0.75" top="1" bottom="1" header="0.511811023622047" footer="0.511811023622047"/>
  <pageSetup paperSize="9" orientation="portrait" horizontalDpi="300" verticalDpi="300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14"/>
  <sheetViews>
    <sheetView zoomScaleNormal="100" workbookViewId="0">
      <pane ySplit="3" topLeftCell="A4" activePane="bottomLeft" state="frozen"/>
      <selection pane="bottomLeft" activeCell="D31" sqref="D31"/>
    </sheetView>
  </sheetViews>
  <sheetFormatPr defaultColWidth="8.7109375" defaultRowHeight="15" x14ac:dyDescent="0.25"/>
  <cols>
    <col min="1" max="1" width="23" customWidth="1"/>
    <col min="2" max="2" width="19" customWidth="1"/>
    <col min="3" max="3" width="24" customWidth="1"/>
    <col min="4" max="4" width="24.85546875" customWidth="1"/>
    <col min="5" max="5" width="33" customWidth="1"/>
    <col min="6" max="6" width="22" customWidth="1"/>
    <col min="7" max="7" width="118" customWidth="1"/>
  </cols>
  <sheetData>
    <row r="1" spans="1:7" ht="24" customHeight="1" x14ac:dyDescent="0.25">
      <c r="A1" s="22" t="s">
        <v>11</v>
      </c>
      <c r="B1" s="22"/>
      <c r="C1" s="22"/>
      <c r="D1" s="22"/>
      <c r="E1" s="22"/>
      <c r="F1" s="22"/>
      <c r="G1" s="22"/>
    </row>
    <row r="3" spans="1:7" x14ac:dyDescent="0.25">
      <c r="A3" s="8" t="s">
        <v>12</v>
      </c>
      <c r="B3" s="8" t="s">
        <v>13</v>
      </c>
      <c r="C3" s="8" t="s">
        <v>14</v>
      </c>
      <c r="D3" s="8" t="s">
        <v>15</v>
      </c>
      <c r="E3" s="8" t="s">
        <v>16</v>
      </c>
      <c r="F3" s="8" t="s">
        <v>17</v>
      </c>
      <c r="G3" s="8" t="s">
        <v>18</v>
      </c>
    </row>
    <row r="4" spans="1:7" x14ac:dyDescent="0.25">
      <c r="A4" s="14" t="s">
        <v>19</v>
      </c>
      <c r="B4" s="10" t="s">
        <v>104</v>
      </c>
      <c r="C4" s="10">
        <v>0</v>
      </c>
      <c r="D4" s="9"/>
      <c r="E4" s="9" t="s">
        <v>20</v>
      </c>
      <c r="F4" s="9" t="s">
        <v>102</v>
      </c>
      <c r="G4" s="9"/>
    </row>
    <row r="5" spans="1:7" x14ac:dyDescent="0.25">
      <c r="A5" s="9" t="s">
        <v>105</v>
      </c>
      <c r="B5" s="10" t="s">
        <v>104</v>
      </c>
      <c r="C5" s="10">
        <v>0</v>
      </c>
      <c r="D5" s="9"/>
      <c r="E5" s="9"/>
      <c r="F5" s="9"/>
      <c r="G5" s="9"/>
    </row>
    <row r="6" spans="1:7" x14ac:dyDescent="0.25">
      <c r="A6" s="9" t="s">
        <v>21</v>
      </c>
      <c r="B6" s="10" t="s">
        <v>104</v>
      </c>
      <c r="C6" s="10">
        <v>0</v>
      </c>
      <c r="D6" s="9"/>
      <c r="E6" s="9" t="s">
        <v>22</v>
      </c>
      <c r="F6" s="9" t="s">
        <v>102</v>
      </c>
      <c r="G6" s="9"/>
    </row>
    <row r="7" spans="1:7" x14ac:dyDescent="0.25">
      <c r="A7" s="9" t="s">
        <v>103</v>
      </c>
      <c r="B7" s="10" t="s">
        <v>104</v>
      </c>
      <c r="C7" s="10">
        <v>0</v>
      </c>
      <c r="D7" s="9"/>
      <c r="E7" s="9"/>
      <c r="F7" s="9"/>
      <c r="G7" s="9"/>
    </row>
    <row r="8" spans="1:7" x14ac:dyDescent="0.25">
      <c r="A8" s="9" t="s">
        <v>23</v>
      </c>
      <c r="B8" s="10" t="s">
        <v>104</v>
      </c>
      <c r="C8" s="10">
        <v>0</v>
      </c>
      <c r="D8" s="9"/>
      <c r="E8" s="9" t="s">
        <v>24</v>
      </c>
      <c r="F8" s="9" t="s">
        <v>102</v>
      </c>
      <c r="G8" s="9"/>
    </row>
    <row r="9" spans="1:7" x14ac:dyDescent="0.25">
      <c r="A9" s="9" t="s">
        <v>25</v>
      </c>
      <c r="B9" s="10" t="s">
        <v>104</v>
      </c>
      <c r="C9" s="10">
        <v>0</v>
      </c>
      <c r="D9" s="9"/>
      <c r="E9" s="9" t="s">
        <v>26</v>
      </c>
      <c r="F9" s="9" t="s">
        <v>102</v>
      </c>
      <c r="G9" s="9"/>
    </row>
    <row r="10" spans="1:7" x14ac:dyDescent="0.25">
      <c r="A10" s="9" t="s">
        <v>27</v>
      </c>
      <c r="B10" s="10" t="s">
        <v>104</v>
      </c>
      <c r="C10" s="10">
        <v>0</v>
      </c>
      <c r="D10" s="9"/>
      <c r="E10" s="9" t="s">
        <v>28</v>
      </c>
      <c r="F10" s="9" t="s">
        <v>102</v>
      </c>
      <c r="G10" s="9"/>
    </row>
    <row r="11" spans="1:7" x14ac:dyDescent="0.25">
      <c r="A11" s="9" t="s">
        <v>29</v>
      </c>
      <c r="B11" s="10" t="s">
        <v>104</v>
      </c>
      <c r="C11" s="10">
        <v>0</v>
      </c>
      <c r="D11" s="9"/>
      <c r="E11" s="9" t="s">
        <v>30</v>
      </c>
      <c r="F11" s="9" t="s">
        <v>102</v>
      </c>
      <c r="G11" s="9"/>
    </row>
    <row r="12" spans="1:7" x14ac:dyDescent="0.25">
      <c r="A12" s="9" t="s">
        <v>31</v>
      </c>
      <c r="B12" s="10" t="s">
        <v>104</v>
      </c>
      <c r="C12" s="10">
        <v>0</v>
      </c>
      <c r="D12" s="9"/>
      <c r="E12" s="9" t="s">
        <v>32</v>
      </c>
      <c r="F12" s="9" t="s">
        <v>102</v>
      </c>
      <c r="G12" s="9"/>
    </row>
    <row r="13" spans="1:7" x14ac:dyDescent="0.25">
      <c r="A13" s="9" t="s">
        <v>33</v>
      </c>
      <c r="B13" s="10" t="s">
        <v>104</v>
      </c>
      <c r="C13" s="10">
        <v>0</v>
      </c>
      <c r="D13" s="9"/>
      <c r="E13" s="9" t="s">
        <v>34</v>
      </c>
      <c r="F13" s="9" t="s">
        <v>102</v>
      </c>
      <c r="G13" s="9"/>
    </row>
    <row r="14" spans="1:7" x14ac:dyDescent="0.25">
      <c r="A14" s="9" t="s">
        <v>35</v>
      </c>
      <c r="B14" s="10" t="s">
        <v>104</v>
      </c>
      <c r="C14" s="10">
        <v>0</v>
      </c>
      <c r="D14" s="9"/>
      <c r="E14" s="9" t="s">
        <v>36</v>
      </c>
      <c r="F14" s="9" t="s">
        <v>102</v>
      </c>
      <c r="G14" s="9"/>
    </row>
  </sheetData>
  <autoFilter ref="A3:G14" xr:uid="{00000000-0009-0000-0000-000001000000}"/>
  <mergeCells count="1">
    <mergeCell ref="A1:G1"/>
  </mergeCells>
  <dataValidations count="1">
    <dataValidation type="list" allowBlank="1" sqref="B4:B14" xr:uid="{00000000-0002-0000-0100-000000000000}">
      <formula1>"No,In Progress,Yes,N/A"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G10"/>
  <sheetViews>
    <sheetView zoomScaleNormal="100" workbookViewId="0">
      <pane ySplit="3" topLeftCell="A4" activePane="bottomLeft" state="frozen"/>
      <selection pane="bottomLeft" activeCell="D30" sqref="D30"/>
    </sheetView>
  </sheetViews>
  <sheetFormatPr defaultColWidth="8.7109375" defaultRowHeight="15" x14ac:dyDescent="0.25"/>
  <cols>
    <col min="1" max="1" width="22" customWidth="1"/>
    <col min="2" max="2" width="19" customWidth="1"/>
    <col min="3" max="3" width="24" customWidth="1"/>
    <col min="4" max="4" width="38.140625" customWidth="1"/>
    <col min="5" max="5" width="28" customWidth="1"/>
    <col min="6" max="6" width="17" customWidth="1"/>
    <col min="7" max="7" width="99" customWidth="1"/>
  </cols>
  <sheetData>
    <row r="1" spans="1:7" ht="24" customHeight="1" x14ac:dyDescent="0.25">
      <c r="A1" s="23" t="s">
        <v>37</v>
      </c>
      <c r="B1" s="23"/>
      <c r="C1" s="23"/>
      <c r="D1" s="23"/>
      <c r="E1" s="23"/>
      <c r="F1" s="23"/>
      <c r="G1" s="23"/>
    </row>
    <row r="3" spans="1:7" x14ac:dyDescent="0.25">
      <c r="A3" s="11" t="s">
        <v>12</v>
      </c>
      <c r="B3" s="11" t="s">
        <v>13</v>
      </c>
      <c r="C3" s="11" t="s">
        <v>14</v>
      </c>
      <c r="D3" s="11" t="s">
        <v>15</v>
      </c>
      <c r="E3" s="11" t="s">
        <v>16</v>
      </c>
      <c r="F3" s="11" t="s">
        <v>17</v>
      </c>
      <c r="G3" s="11" t="s">
        <v>18</v>
      </c>
    </row>
    <row r="4" spans="1:7" x14ac:dyDescent="0.25">
      <c r="A4" s="14" t="s">
        <v>50</v>
      </c>
      <c r="B4" s="10" t="s">
        <v>104</v>
      </c>
      <c r="C4" s="10">
        <v>0</v>
      </c>
      <c r="D4" s="9"/>
      <c r="E4" s="9" t="s">
        <v>51</v>
      </c>
      <c r="F4" s="9" t="s">
        <v>101</v>
      </c>
      <c r="G4" s="9"/>
    </row>
    <row r="5" spans="1:7" x14ac:dyDescent="0.25">
      <c r="A5" s="9" t="s">
        <v>38</v>
      </c>
      <c r="B5" s="10" t="s">
        <v>104</v>
      </c>
      <c r="C5" s="10">
        <v>0</v>
      </c>
      <c r="D5" s="9"/>
      <c r="E5" s="9" t="s">
        <v>39</v>
      </c>
      <c r="F5" s="9" t="s">
        <v>101</v>
      </c>
      <c r="G5" s="9"/>
    </row>
    <row r="6" spans="1:7" x14ac:dyDescent="0.25">
      <c r="A6" s="9" t="s">
        <v>40</v>
      </c>
      <c r="B6" s="10" t="s">
        <v>104</v>
      </c>
      <c r="C6" s="10">
        <v>0</v>
      </c>
      <c r="D6" s="9"/>
      <c r="E6" s="9" t="s">
        <v>41</v>
      </c>
      <c r="F6" s="9" t="s">
        <v>101</v>
      </c>
      <c r="G6" s="9"/>
    </row>
    <row r="7" spans="1:7" x14ac:dyDescent="0.25">
      <c r="A7" s="9" t="s">
        <v>42</v>
      </c>
      <c r="B7" s="10" t="s">
        <v>104</v>
      </c>
      <c r="C7" s="10">
        <v>0</v>
      </c>
      <c r="D7" s="9"/>
      <c r="E7" s="9" t="s">
        <v>43</v>
      </c>
      <c r="F7" s="9" t="s">
        <v>101</v>
      </c>
      <c r="G7" s="9"/>
    </row>
    <row r="8" spans="1:7" x14ac:dyDescent="0.25">
      <c r="A8" s="9" t="s">
        <v>44</v>
      </c>
      <c r="B8" s="10" t="s">
        <v>104</v>
      </c>
      <c r="C8" s="10">
        <v>0</v>
      </c>
      <c r="D8" s="9"/>
      <c r="E8" s="9" t="s">
        <v>45</v>
      </c>
      <c r="F8" s="9" t="s">
        <v>101</v>
      </c>
      <c r="G8" s="9"/>
    </row>
    <row r="9" spans="1:7" x14ac:dyDescent="0.25">
      <c r="A9" s="9" t="s">
        <v>46</v>
      </c>
      <c r="B9" s="10" t="s">
        <v>104</v>
      </c>
      <c r="C9" s="10">
        <v>0</v>
      </c>
      <c r="D9" s="9"/>
      <c r="E9" s="9" t="s">
        <v>47</v>
      </c>
      <c r="F9" s="9" t="s">
        <v>101</v>
      </c>
      <c r="G9" s="9"/>
    </row>
    <row r="10" spans="1:7" x14ac:dyDescent="0.25">
      <c r="A10" s="9" t="s">
        <v>48</v>
      </c>
      <c r="B10" s="10" t="s">
        <v>104</v>
      </c>
      <c r="C10" s="10">
        <v>0</v>
      </c>
      <c r="D10" s="9"/>
      <c r="E10" s="9" t="s">
        <v>49</v>
      </c>
      <c r="F10" s="9" t="s">
        <v>101</v>
      </c>
      <c r="G10" s="9"/>
    </row>
  </sheetData>
  <autoFilter ref="A3:G11" xr:uid="{00000000-0009-0000-0000-000002000000}">
    <sortState xmlns:xlrd2="http://schemas.microsoft.com/office/spreadsheetml/2017/richdata2" ref="A4:G10">
      <sortCondition sortBy="cellColor" ref="A3:A11" dxfId="0"/>
    </sortState>
  </autoFilter>
  <mergeCells count="1">
    <mergeCell ref="A1:G1"/>
  </mergeCells>
  <dataValidations count="1">
    <dataValidation type="list" allowBlank="1" sqref="B4:B10" xr:uid="{00000000-0002-0000-0200-000000000000}">
      <formula1>"No,In Progress,Yes,N/A"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-0.249977111117893"/>
  </sheetPr>
  <dimension ref="A1:H30"/>
  <sheetViews>
    <sheetView tabSelected="1" zoomScaleNormal="100" workbookViewId="0">
      <pane ySplit="3" topLeftCell="A4" activePane="bottomLeft" state="frozen"/>
      <selection pane="bottomLeft" activeCell="A12" sqref="A12"/>
    </sheetView>
  </sheetViews>
  <sheetFormatPr defaultColWidth="8.7109375" defaultRowHeight="15" x14ac:dyDescent="0.25"/>
  <cols>
    <col min="1" max="1" width="30" customWidth="1"/>
    <col min="2" max="2" width="21.42578125" bestFit="1" customWidth="1"/>
    <col min="3" max="3" width="24" customWidth="1"/>
    <col min="4" max="4" width="34.28515625" customWidth="1"/>
    <col min="5" max="5" width="34.28515625" style="15" customWidth="1"/>
    <col min="6" max="6" width="29" customWidth="1"/>
    <col min="7" max="7" width="21.7109375" customWidth="1"/>
    <col min="8" max="8" width="51" style="19" customWidth="1"/>
  </cols>
  <sheetData>
    <row r="1" spans="1:8" ht="24" customHeight="1" x14ac:dyDescent="0.25">
      <c r="A1" s="24" t="s">
        <v>54</v>
      </c>
      <c r="B1" s="24"/>
      <c r="C1" s="24"/>
      <c r="D1" s="24"/>
      <c r="E1" s="24"/>
      <c r="F1" s="24"/>
      <c r="G1" s="24"/>
      <c r="H1" s="24"/>
    </row>
    <row r="3" spans="1:8" x14ac:dyDescent="0.25">
      <c r="A3" s="12" t="s">
        <v>12</v>
      </c>
      <c r="B3" s="12" t="s">
        <v>13</v>
      </c>
      <c r="C3" s="12" t="s">
        <v>14</v>
      </c>
      <c r="D3" s="12" t="s">
        <v>15</v>
      </c>
      <c r="E3" s="12" t="s">
        <v>106</v>
      </c>
      <c r="F3" s="12" t="s">
        <v>16</v>
      </c>
      <c r="G3" s="12" t="s">
        <v>17</v>
      </c>
      <c r="H3" s="12" t="s">
        <v>110</v>
      </c>
    </row>
    <row r="4" spans="1:8" x14ac:dyDescent="0.25">
      <c r="A4" s="16" t="s">
        <v>55</v>
      </c>
      <c r="B4" s="10" t="s">
        <v>104</v>
      </c>
      <c r="C4" s="10">
        <v>0</v>
      </c>
      <c r="D4" s="9"/>
      <c r="E4" s="10">
        <v>1</v>
      </c>
      <c r="F4" s="9" t="s">
        <v>56</v>
      </c>
      <c r="G4" s="9" t="s">
        <v>100</v>
      </c>
      <c r="H4" s="10" t="s">
        <v>111</v>
      </c>
    </row>
    <row r="5" spans="1:8" x14ac:dyDescent="0.25">
      <c r="A5" s="16" t="s">
        <v>69</v>
      </c>
      <c r="B5" s="10" t="s">
        <v>104</v>
      </c>
      <c r="C5" s="10">
        <v>0</v>
      </c>
      <c r="D5" s="9"/>
      <c r="E5" s="10">
        <v>1</v>
      </c>
      <c r="F5" s="9" t="s">
        <v>70</v>
      </c>
      <c r="G5" s="9" t="s">
        <v>100</v>
      </c>
      <c r="H5" s="10"/>
    </row>
    <row r="6" spans="1:8" x14ac:dyDescent="0.25">
      <c r="A6" s="16" t="s">
        <v>52</v>
      </c>
      <c r="B6" s="10" t="s">
        <v>104</v>
      </c>
      <c r="C6" s="10">
        <v>0</v>
      </c>
      <c r="D6" s="9"/>
      <c r="E6" s="10">
        <v>1</v>
      </c>
      <c r="F6" s="9" t="s">
        <v>53</v>
      </c>
      <c r="G6" s="9" t="s">
        <v>100</v>
      </c>
      <c r="H6" s="10"/>
    </row>
    <row r="7" spans="1:8" x14ac:dyDescent="0.25">
      <c r="A7" s="17" t="s">
        <v>65</v>
      </c>
      <c r="B7" s="10" t="s">
        <v>104</v>
      </c>
      <c r="C7" s="10">
        <v>0</v>
      </c>
      <c r="D7" s="9"/>
      <c r="E7" s="10">
        <v>2</v>
      </c>
      <c r="F7" s="9" t="s">
        <v>66</v>
      </c>
      <c r="G7" s="9" t="s">
        <v>100</v>
      </c>
      <c r="H7" s="10"/>
    </row>
    <row r="8" spans="1:8" x14ac:dyDescent="0.25">
      <c r="A8" s="17" t="s">
        <v>87</v>
      </c>
      <c r="B8" s="10" t="s">
        <v>104</v>
      </c>
      <c r="C8" s="10">
        <v>0</v>
      </c>
      <c r="D8" s="9"/>
      <c r="E8" s="10">
        <v>2</v>
      </c>
      <c r="F8" s="9" t="s">
        <v>88</v>
      </c>
      <c r="G8" s="9" t="s">
        <v>100</v>
      </c>
      <c r="H8" s="10"/>
    </row>
    <row r="9" spans="1:8" x14ac:dyDescent="0.25">
      <c r="A9" s="17" t="s">
        <v>93</v>
      </c>
      <c r="B9" s="10" t="s">
        <v>104</v>
      </c>
      <c r="C9" s="10">
        <v>0</v>
      </c>
      <c r="D9" s="9"/>
      <c r="E9" s="10">
        <v>2</v>
      </c>
      <c r="F9" s="9" t="s">
        <v>94</v>
      </c>
      <c r="G9" s="9" t="s">
        <v>100</v>
      </c>
      <c r="H9" s="10"/>
    </row>
    <row r="10" spans="1:8" x14ac:dyDescent="0.25">
      <c r="A10" s="26" t="s">
        <v>57</v>
      </c>
      <c r="B10" s="10" t="s">
        <v>104</v>
      </c>
      <c r="C10" s="10">
        <v>0</v>
      </c>
      <c r="D10" s="9"/>
      <c r="E10" s="10"/>
      <c r="F10" s="9" t="s">
        <v>58</v>
      </c>
      <c r="G10" s="9" t="s">
        <v>100</v>
      </c>
      <c r="H10" s="10"/>
    </row>
    <row r="11" spans="1:8" x14ac:dyDescent="0.25">
      <c r="A11" s="9" t="s">
        <v>59</v>
      </c>
      <c r="B11" s="10" t="s">
        <v>104</v>
      </c>
      <c r="C11" s="10">
        <v>0</v>
      </c>
      <c r="D11" s="9"/>
      <c r="E11" s="10"/>
      <c r="F11" s="9" t="s">
        <v>60</v>
      </c>
      <c r="G11" s="9" t="s">
        <v>100</v>
      </c>
      <c r="H11" s="10"/>
    </row>
    <row r="12" spans="1:8" x14ac:dyDescent="0.25">
      <c r="A12" s="26" t="s">
        <v>61</v>
      </c>
      <c r="B12" s="10" t="s">
        <v>104</v>
      </c>
      <c r="C12" s="10">
        <v>0</v>
      </c>
      <c r="D12" s="9"/>
      <c r="E12" s="10"/>
      <c r="F12" s="9" t="s">
        <v>62</v>
      </c>
      <c r="G12" s="9" t="s">
        <v>100</v>
      </c>
      <c r="H12" s="10"/>
    </row>
    <row r="13" spans="1:8" x14ac:dyDescent="0.25">
      <c r="A13" s="26" t="s">
        <v>63</v>
      </c>
      <c r="B13" s="10" t="s">
        <v>104</v>
      </c>
      <c r="C13" s="10">
        <v>0</v>
      </c>
      <c r="D13" s="9"/>
      <c r="E13" s="10"/>
      <c r="F13" s="9" t="s">
        <v>64</v>
      </c>
      <c r="G13" s="9" t="s">
        <v>100</v>
      </c>
      <c r="H13" s="10"/>
    </row>
    <row r="14" spans="1:8" x14ac:dyDescent="0.25">
      <c r="A14" s="9" t="s">
        <v>67</v>
      </c>
      <c r="B14" s="10" t="s">
        <v>104</v>
      </c>
      <c r="C14" s="10">
        <v>0</v>
      </c>
      <c r="D14" s="9"/>
      <c r="E14" s="10"/>
      <c r="F14" s="9" t="s">
        <v>68</v>
      </c>
      <c r="G14" s="9" t="s">
        <v>100</v>
      </c>
      <c r="H14" s="10"/>
    </row>
    <row r="15" spans="1:8" x14ac:dyDescent="0.25">
      <c r="A15" s="9" t="s">
        <v>71</v>
      </c>
      <c r="B15" s="10" t="s">
        <v>104</v>
      </c>
      <c r="C15" s="10">
        <v>0</v>
      </c>
      <c r="D15" s="9"/>
      <c r="E15" s="10"/>
      <c r="F15" s="9" t="s">
        <v>72</v>
      </c>
      <c r="G15" s="9" t="s">
        <v>100</v>
      </c>
      <c r="H15" s="10"/>
    </row>
    <row r="16" spans="1:8" x14ac:dyDescent="0.25">
      <c r="A16" s="14" t="s">
        <v>73</v>
      </c>
      <c r="B16" s="10" t="s">
        <v>104</v>
      </c>
      <c r="C16" s="10">
        <v>0</v>
      </c>
      <c r="D16" s="9"/>
      <c r="E16" s="10"/>
      <c r="F16" s="9" t="s">
        <v>74</v>
      </c>
      <c r="G16" s="9" t="s">
        <v>100</v>
      </c>
      <c r="H16" s="10"/>
    </row>
    <row r="17" spans="1:8" x14ac:dyDescent="0.25">
      <c r="A17" s="9" t="s">
        <v>75</v>
      </c>
      <c r="B17" s="10" t="s">
        <v>104</v>
      </c>
      <c r="C17" s="10">
        <v>0</v>
      </c>
      <c r="D17" s="9"/>
      <c r="E17" s="10"/>
      <c r="F17" s="9" t="s">
        <v>76</v>
      </c>
      <c r="G17" s="9" t="s">
        <v>100</v>
      </c>
      <c r="H17" s="10"/>
    </row>
    <row r="18" spans="1:8" x14ac:dyDescent="0.25">
      <c r="A18" s="9" t="s">
        <v>77</v>
      </c>
      <c r="B18" s="10" t="s">
        <v>104</v>
      </c>
      <c r="C18" s="10">
        <v>0</v>
      </c>
      <c r="D18" s="9"/>
      <c r="E18" s="10"/>
      <c r="F18" s="9" t="s">
        <v>78</v>
      </c>
      <c r="G18" s="9" t="s">
        <v>100</v>
      </c>
      <c r="H18" s="10"/>
    </row>
    <row r="19" spans="1:8" x14ac:dyDescent="0.25">
      <c r="A19" s="20" t="s">
        <v>79</v>
      </c>
      <c r="B19" s="10" t="s">
        <v>104</v>
      </c>
      <c r="C19" s="10">
        <v>0</v>
      </c>
      <c r="D19" s="9"/>
      <c r="E19" s="10"/>
      <c r="F19" s="9" t="s">
        <v>80</v>
      </c>
      <c r="G19" s="9" t="s">
        <v>100</v>
      </c>
      <c r="H19" s="10"/>
    </row>
    <row r="20" spans="1:8" x14ac:dyDescent="0.25">
      <c r="A20" s="20" t="s">
        <v>81</v>
      </c>
      <c r="B20" s="10" t="s">
        <v>104</v>
      </c>
      <c r="C20" s="10">
        <v>0</v>
      </c>
      <c r="D20" s="9"/>
      <c r="E20" s="10"/>
      <c r="F20" s="9" t="s">
        <v>82</v>
      </c>
      <c r="G20" s="9" t="s">
        <v>100</v>
      </c>
      <c r="H20" s="10"/>
    </row>
    <row r="21" spans="1:8" x14ac:dyDescent="0.25">
      <c r="A21" s="9" t="s">
        <v>83</v>
      </c>
      <c r="B21" s="10" t="s">
        <v>104</v>
      </c>
      <c r="C21" s="10">
        <v>0</v>
      </c>
      <c r="D21" s="9"/>
      <c r="E21" s="10"/>
      <c r="F21" s="9" t="s">
        <v>84</v>
      </c>
      <c r="G21" s="9" t="s">
        <v>100</v>
      </c>
      <c r="H21" s="10"/>
    </row>
    <row r="22" spans="1:8" x14ac:dyDescent="0.25">
      <c r="A22" s="9" t="s">
        <v>85</v>
      </c>
      <c r="B22" s="10" t="s">
        <v>104</v>
      </c>
      <c r="C22" s="10">
        <v>0</v>
      </c>
      <c r="D22" s="9"/>
      <c r="E22" s="10"/>
      <c r="F22" s="9" t="s">
        <v>86</v>
      </c>
      <c r="G22" s="9" t="s">
        <v>100</v>
      </c>
      <c r="H22" s="10"/>
    </row>
    <row r="23" spans="1:8" x14ac:dyDescent="0.25">
      <c r="A23" s="9" t="s">
        <v>89</v>
      </c>
      <c r="B23" s="10" t="s">
        <v>104</v>
      </c>
      <c r="C23" s="10">
        <v>0</v>
      </c>
      <c r="D23" s="9"/>
      <c r="E23" s="10"/>
      <c r="F23" s="9" t="s">
        <v>90</v>
      </c>
      <c r="G23" s="9" t="s">
        <v>100</v>
      </c>
      <c r="H23" s="10"/>
    </row>
    <row r="24" spans="1:8" x14ac:dyDescent="0.25">
      <c r="A24" s="9" t="s">
        <v>91</v>
      </c>
      <c r="B24" s="10" t="s">
        <v>104</v>
      </c>
      <c r="C24" s="10">
        <v>0</v>
      </c>
      <c r="D24" s="9"/>
      <c r="E24" s="10"/>
      <c r="F24" s="9" t="s">
        <v>92</v>
      </c>
      <c r="G24" s="9" t="s">
        <v>100</v>
      </c>
      <c r="H24" s="10"/>
    </row>
    <row r="25" spans="1:8" x14ac:dyDescent="0.25">
      <c r="A25" s="9" t="s">
        <v>95</v>
      </c>
      <c r="B25" s="10" t="s">
        <v>104</v>
      </c>
      <c r="C25" s="10">
        <v>0</v>
      </c>
      <c r="D25" s="9"/>
      <c r="E25" s="10"/>
      <c r="F25" s="9" t="s">
        <v>96</v>
      </c>
      <c r="G25" s="9" t="s">
        <v>100</v>
      </c>
      <c r="H25" s="10"/>
    </row>
    <row r="28" spans="1:8" x14ac:dyDescent="0.25">
      <c r="A28" s="18" t="s">
        <v>107</v>
      </c>
    </row>
    <row r="29" spans="1:8" x14ac:dyDescent="0.25">
      <c r="A29" s="18" t="s">
        <v>108</v>
      </c>
    </row>
    <row r="30" spans="1:8" x14ac:dyDescent="0.25">
      <c r="A30" s="18" t="s">
        <v>109</v>
      </c>
    </row>
  </sheetData>
  <autoFilter ref="A3:H24" xr:uid="{00000000-0009-0000-0000-000003000000}">
    <sortState xmlns:xlrd2="http://schemas.microsoft.com/office/spreadsheetml/2017/richdata2" ref="A4:H25">
      <sortCondition ref="E3:E24"/>
    </sortState>
  </autoFilter>
  <mergeCells count="1">
    <mergeCell ref="A1:H1"/>
  </mergeCells>
  <dataValidations count="1">
    <dataValidation type="list" allowBlank="1" sqref="B4:B25" xr:uid="{00000000-0002-0000-0300-000000000000}">
      <formula1>"No,In Progress,Yes,N/A"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G6"/>
  <sheetViews>
    <sheetView zoomScaleNormal="100" workbookViewId="0">
      <pane ySplit="3" topLeftCell="A4" activePane="bottomLeft" state="frozen"/>
      <selection pane="bottomLeft" activeCell="E30" sqref="E30"/>
    </sheetView>
  </sheetViews>
  <sheetFormatPr defaultColWidth="8.7109375" defaultRowHeight="15" x14ac:dyDescent="0.25"/>
  <cols>
    <col min="1" max="2" width="19" customWidth="1"/>
    <col min="3" max="3" width="24" customWidth="1"/>
    <col min="4" max="4" width="14" customWidth="1"/>
    <col min="5" max="5" width="29" customWidth="1"/>
    <col min="6" max="6" width="30" customWidth="1"/>
    <col min="7" max="7" width="87" customWidth="1"/>
  </cols>
  <sheetData>
    <row r="1" spans="1:7" ht="24" customHeight="1" x14ac:dyDescent="0.25">
      <c r="A1" s="25" t="s">
        <v>97</v>
      </c>
      <c r="B1" s="25"/>
      <c r="C1" s="25"/>
      <c r="D1" s="25"/>
      <c r="E1" s="25"/>
      <c r="F1" s="25"/>
      <c r="G1" s="25"/>
    </row>
    <row r="3" spans="1:7" x14ac:dyDescent="0.25">
      <c r="A3" s="13" t="s">
        <v>12</v>
      </c>
      <c r="B3" s="13" t="s">
        <v>13</v>
      </c>
      <c r="C3" s="13" t="s">
        <v>14</v>
      </c>
      <c r="D3" s="13" t="s">
        <v>15</v>
      </c>
      <c r="E3" s="13" t="s">
        <v>16</v>
      </c>
      <c r="F3" s="13" t="s">
        <v>17</v>
      </c>
      <c r="G3" s="13" t="s">
        <v>18</v>
      </c>
    </row>
    <row r="4" spans="1:7" x14ac:dyDescent="0.25">
      <c r="A4" s="9"/>
      <c r="B4" s="10"/>
      <c r="C4" s="10"/>
      <c r="D4" s="9"/>
      <c r="E4" s="9"/>
      <c r="F4" s="9"/>
      <c r="G4" s="9"/>
    </row>
    <row r="5" spans="1:7" x14ac:dyDescent="0.25">
      <c r="A5" s="20" t="s">
        <v>98</v>
      </c>
      <c r="B5" s="10" t="s">
        <v>104</v>
      </c>
      <c r="C5" s="10">
        <v>0</v>
      </c>
      <c r="D5" s="9"/>
      <c r="E5" s="9" t="s">
        <v>99</v>
      </c>
      <c r="F5" s="9" t="s">
        <v>100</v>
      </c>
      <c r="G5" s="9"/>
    </row>
    <row r="6" spans="1:7" x14ac:dyDescent="0.25">
      <c r="A6" s="9"/>
      <c r="B6" s="10"/>
      <c r="C6" s="10"/>
      <c r="D6" s="9"/>
      <c r="E6" s="9"/>
      <c r="F6" s="9"/>
      <c r="G6" s="9"/>
    </row>
  </sheetData>
  <autoFilter ref="A3:G6" xr:uid="{00000000-0009-0000-0000-000004000000}"/>
  <mergeCells count="1">
    <mergeCell ref="A1:G1"/>
  </mergeCells>
  <dataValidations count="1">
    <dataValidation type="list" allowBlank="1" sqref="B4:B6" xr:uid="{00000000-0002-0000-0400-000000000000}">
      <formula1>"No,In Progress,Yes,N/A"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  <headerFooter>
    <oddHeader>&amp;L&amp;"arial"&amp;14&amp;K000000&amp;BClassification:&amp;B &amp;K6A1B9A&amp;BInternal</oddHeader>
    <evenHeader>&amp;L&amp;"arial"&amp;14&amp;K000000&amp;BClassification:&amp;B &amp;K6A1B9A&amp;BInternal</evenHeader>
    <firstHeader>&amp;L&amp;"arial"&amp;14&amp;K000000&amp;BClassification:&amp;B &amp;K6A1B9A&amp;BInternal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 xml:space="preserve">Internal</attrValue>
  <customPropName>Classification</customPropName>
  <timestamp> 25/12/47 03:59:46 م</timestamp>
  <userName>TAWN\VDR7523</userName>
  <computerName>WSHQGEN-AG8298.TAWN.COM</computerName>
  <guid>{a1d8de45-4387-473a-8e17-7e91252f07f0}</guid>
  <hdr>
    <r>
      <fontName>arial</fontName>
      <fontColor>000000</fontColor>
      <fontSize>14</fontSize>
      <b/>
      <text xml:space="preserve">Classification:</text>
    </r>
    <r>
      <fontName>arial</fontName>
      <fontColor>000000</fontColor>
      <fontSize>14</fontSize>
      <text xml:space="preserve"> </text>
    </r>
    <r>
      <fontName>arial</fontName>
      <fontColor>6A1B9A</fontColor>
      <fontSize>14</fontSize>
      <b/>
      <text xml:space="preserve">Internal</text>
    </r>
  </hdr>
</GTBClassification>
</file>

<file path=customXml/itemProps1.xml><?xml version="1.0" encoding="utf-8"?>
<ds:datastoreItem xmlns:ds="http://schemas.openxmlformats.org/officeDocument/2006/customXml" ds:itemID="{EE3D7060-7873-4204-9B2A-2212F3C14C9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Motor</vt:lpstr>
      <vt:lpstr>Health</vt:lpstr>
      <vt:lpstr>General</vt:lpstr>
      <vt:lpstr>Payment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>ClassificationData:&lt;Classification:Internal&gt;</cp:keywords>
  <dc:description/>
  <cp:lastModifiedBy>Mohamed Elarief</cp:lastModifiedBy>
  <cp:revision>0</cp:revision>
  <dcterms:created xsi:type="dcterms:W3CDTF">2026-06-11T12:56:47Z</dcterms:created>
  <dcterms:modified xsi:type="dcterms:W3CDTF">2026-09-09T12:07:17Z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Internal</vt:lpwstr>
  </property>
  <property fmtid="{D5CDD505-2E9C-101B-9397-08002B2CF9AE}" pid="3" name="ClassifiedBy">
    <vt:lpwstr>TAWN\VDR7523</vt:lpwstr>
  </property>
  <property fmtid="{D5CDD505-2E9C-101B-9397-08002B2CF9AE}" pid="4" name="ClassificationHost">
    <vt:lpwstr>WSHQGEN-AG8298.TAWN.COM</vt:lpwstr>
  </property>
  <property fmtid="{D5CDD505-2E9C-101B-9397-08002B2CF9AE}" pid="5" name="ClassificationDate">
    <vt:lpwstr> 25/12/47 03:59:46 م</vt:lpwstr>
  </property>
  <property fmtid="{D5CDD505-2E9C-101B-9397-08002B2CF9AE}" pid="6" name="ClassificationGUID">
    <vt:lpwstr>{a1d8de45-4387-473a-8e17-7e91252f07f0}</vt:lpwstr>
  </property>
  <property fmtid="{D5CDD505-2E9C-101B-9397-08002B2CF9AE}" pid="7" name="SV_QUERY_LIST_4F35BF76-6C0D-4D9B-82B2-816C12CF3733">
    <vt:lpwstr>empty_477D106A-C0D6-4607-AEBD-E2C9D60EA279</vt:lpwstr>
  </property>
  <property fmtid="{D5CDD505-2E9C-101B-9397-08002B2CF9AE}" pid="8" name="SV_HIDDEN_GRID_QUERY_LIST_4F35BF76-6C0D-4D9B-82B2-816C12CF3733">
    <vt:lpwstr>empty_477D106A-C0D6-4607-AEBD-E2C9D60EA279</vt:lpwstr>
  </property>
</Properties>
</file>